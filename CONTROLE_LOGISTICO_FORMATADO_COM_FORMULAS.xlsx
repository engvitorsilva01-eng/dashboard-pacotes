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bookViews>
    <workbookView xWindow="0" yWindow="0" windowWidth="38400" windowHeight="12315" activeTab="2"/>
  </bookViews>
  <sheets>
    <sheet name="ORIGINAL" sheetId="1" r:id="rId1"/>
    <sheet name="PACOTES" sheetId="2" r:id="rId2"/>
    <sheet name="ITENS" sheetId="4" r:id="rId3"/>
    <sheet name="DICIONARIO" sheetId="3" r:id="rId4"/>
  </sheets>
  <calcPr calcId="152511"/>
</workbook>
</file>

<file path=xl/calcChain.xml><?xml version="1.0" encoding="utf-8"?>
<calcChain xmlns="http://schemas.openxmlformats.org/spreadsheetml/2006/main">
  <c r="J10" i="2" l="1"/>
  <c r="I10" i="2"/>
  <c r="F10" i="2"/>
  <c r="H10" i="2" s="1"/>
  <c r="J7" i="2"/>
  <c r="I7" i="2"/>
  <c r="F7" i="2"/>
  <c r="G7" i="2" s="1"/>
  <c r="J5" i="2"/>
  <c r="I5" i="2"/>
  <c r="F5" i="2"/>
  <c r="H5" i="2" s="1"/>
  <c r="G10" i="2" l="1"/>
  <c r="H7" i="2"/>
  <c r="G5" i="2"/>
  <c r="J208" i="2"/>
  <c r="I208" i="2"/>
  <c r="H208" i="2"/>
  <c r="G208" i="2"/>
  <c r="J207" i="2"/>
  <c r="I207" i="2"/>
  <c r="H207" i="2"/>
  <c r="G207" i="2"/>
  <c r="J206" i="2"/>
  <c r="I206" i="2"/>
  <c r="H206" i="2"/>
  <c r="G206" i="2"/>
  <c r="J205" i="2"/>
  <c r="I205" i="2"/>
  <c r="H205" i="2"/>
  <c r="G205" i="2"/>
  <c r="J204" i="2"/>
  <c r="I204" i="2"/>
  <c r="H204" i="2"/>
  <c r="G204" i="2"/>
  <c r="J203" i="2"/>
  <c r="I203" i="2"/>
  <c r="H203" i="2"/>
  <c r="G203" i="2"/>
  <c r="J202" i="2"/>
  <c r="I202" i="2"/>
  <c r="H202" i="2"/>
  <c r="G202" i="2"/>
  <c r="J201" i="2"/>
  <c r="I201" i="2"/>
  <c r="H201" i="2"/>
  <c r="G201" i="2"/>
  <c r="J200" i="2"/>
  <c r="I200" i="2"/>
  <c r="H200" i="2"/>
  <c r="G200" i="2"/>
  <c r="J199" i="2"/>
  <c r="I199" i="2"/>
  <c r="H199" i="2"/>
  <c r="G199" i="2"/>
  <c r="J198" i="2"/>
  <c r="I198" i="2"/>
  <c r="H198" i="2"/>
  <c r="G198" i="2"/>
  <c r="J197" i="2"/>
  <c r="I197" i="2"/>
  <c r="H197" i="2"/>
  <c r="G197" i="2"/>
  <c r="J196" i="2"/>
  <c r="I196" i="2"/>
  <c r="H196" i="2"/>
  <c r="G196" i="2"/>
  <c r="J195" i="2"/>
  <c r="I195" i="2"/>
  <c r="H195" i="2"/>
  <c r="G195" i="2"/>
  <c r="J194" i="2"/>
  <c r="I194" i="2"/>
  <c r="H194" i="2"/>
  <c r="G194" i="2"/>
  <c r="J193" i="2"/>
  <c r="I193" i="2"/>
  <c r="H193" i="2"/>
  <c r="G193" i="2"/>
  <c r="J192" i="2"/>
  <c r="I192" i="2"/>
  <c r="H192" i="2"/>
  <c r="G192" i="2"/>
  <c r="J191" i="2"/>
  <c r="I191" i="2"/>
  <c r="H191" i="2"/>
  <c r="G191" i="2"/>
  <c r="J190" i="2"/>
  <c r="I190" i="2"/>
  <c r="H190" i="2"/>
  <c r="G190" i="2"/>
  <c r="J189" i="2"/>
  <c r="I189" i="2"/>
  <c r="H189" i="2"/>
  <c r="G189" i="2"/>
  <c r="J188" i="2"/>
  <c r="I188" i="2"/>
  <c r="H188" i="2"/>
  <c r="G188" i="2"/>
  <c r="J187" i="2"/>
  <c r="I187" i="2"/>
  <c r="H187" i="2"/>
  <c r="G187" i="2"/>
  <c r="J186" i="2"/>
  <c r="I186" i="2"/>
  <c r="H186" i="2"/>
  <c r="G186" i="2"/>
  <c r="J185" i="2"/>
  <c r="I185" i="2"/>
  <c r="H185" i="2"/>
  <c r="G185" i="2"/>
  <c r="J184" i="2"/>
  <c r="I184" i="2"/>
  <c r="H184" i="2"/>
  <c r="G184" i="2"/>
  <c r="J183" i="2"/>
  <c r="I183" i="2"/>
  <c r="H183" i="2"/>
  <c r="G183" i="2"/>
  <c r="J182" i="2"/>
  <c r="I182" i="2"/>
  <c r="H182" i="2"/>
  <c r="G182" i="2"/>
  <c r="J181" i="2"/>
  <c r="I181" i="2"/>
  <c r="H181" i="2"/>
  <c r="G181" i="2"/>
  <c r="J180" i="2"/>
  <c r="I180" i="2"/>
  <c r="H180" i="2"/>
  <c r="G180" i="2"/>
  <c r="J179" i="2"/>
  <c r="I179" i="2"/>
  <c r="H179" i="2"/>
  <c r="G179" i="2"/>
  <c r="J178" i="2"/>
  <c r="I178" i="2"/>
  <c r="H178" i="2"/>
  <c r="G178" i="2"/>
  <c r="J177" i="2"/>
  <c r="I177" i="2"/>
  <c r="H177" i="2"/>
  <c r="G177" i="2"/>
  <c r="J176" i="2"/>
  <c r="I176" i="2"/>
  <c r="H176" i="2"/>
  <c r="G176" i="2"/>
  <c r="J175" i="2"/>
  <c r="I175" i="2"/>
  <c r="H175" i="2"/>
  <c r="G175" i="2"/>
  <c r="J174" i="2"/>
  <c r="I174" i="2"/>
  <c r="H174" i="2"/>
  <c r="G174" i="2"/>
  <c r="J173" i="2"/>
  <c r="I173" i="2"/>
  <c r="H173" i="2"/>
  <c r="G173" i="2"/>
  <c r="J172" i="2"/>
  <c r="I172" i="2"/>
  <c r="H172" i="2"/>
  <c r="G172" i="2"/>
  <c r="J171" i="2"/>
  <c r="I171" i="2"/>
  <c r="H171" i="2"/>
  <c r="G171" i="2"/>
  <c r="J170" i="2"/>
  <c r="I170" i="2"/>
  <c r="H170" i="2"/>
  <c r="G170" i="2"/>
  <c r="J169" i="2"/>
  <c r="I169" i="2"/>
  <c r="H169" i="2"/>
  <c r="G169" i="2"/>
  <c r="J168" i="2"/>
  <c r="I168" i="2"/>
  <c r="H168" i="2"/>
  <c r="G168" i="2"/>
  <c r="J167" i="2"/>
  <c r="I167" i="2"/>
  <c r="H167" i="2"/>
  <c r="G167" i="2"/>
  <c r="J166" i="2"/>
  <c r="I166" i="2"/>
  <c r="H166" i="2"/>
  <c r="G166" i="2"/>
  <c r="J165" i="2"/>
  <c r="I165" i="2"/>
  <c r="H165" i="2"/>
  <c r="G165" i="2"/>
  <c r="J164" i="2"/>
  <c r="I164" i="2"/>
  <c r="H164" i="2"/>
  <c r="G164" i="2"/>
  <c r="J163" i="2"/>
  <c r="I163" i="2"/>
  <c r="H163" i="2"/>
  <c r="G163" i="2"/>
  <c r="J162" i="2"/>
  <c r="I162" i="2"/>
  <c r="H162" i="2"/>
  <c r="G162" i="2"/>
  <c r="J161" i="2"/>
  <c r="I161" i="2"/>
  <c r="H161" i="2"/>
  <c r="G161" i="2"/>
  <c r="J160" i="2"/>
  <c r="I160" i="2"/>
  <c r="H160" i="2"/>
  <c r="G160" i="2"/>
  <c r="J159" i="2"/>
  <c r="I159" i="2"/>
  <c r="H159" i="2"/>
  <c r="G159" i="2"/>
  <c r="J158" i="2"/>
  <c r="I158" i="2"/>
  <c r="H158" i="2"/>
  <c r="G158" i="2"/>
  <c r="J157" i="2"/>
  <c r="I157" i="2"/>
  <c r="H157" i="2"/>
  <c r="G157" i="2"/>
  <c r="J156" i="2"/>
  <c r="I156" i="2"/>
  <c r="H156" i="2"/>
  <c r="G156" i="2"/>
  <c r="J155" i="2"/>
  <c r="I155" i="2"/>
  <c r="H155" i="2"/>
  <c r="G155" i="2"/>
  <c r="J154" i="2"/>
  <c r="I154" i="2"/>
  <c r="H154" i="2"/>
  <c r="G154" i="2"/>
  <c r="J153" i="2"/>
  <c r="I153" i="2"/>
  <c r="H153" i="2"/>
  <c r="G153" i="2"/>
  <c r="J152" i="2"/>
  <c r="I152" i="2"/>
  <c r="H152" i="2"/>
  <c r="G152" i="2"/>
  <c r="J151" i="2"/>
  <c r="I151" i="2"/>
  <c r="H151" i="2"/>
  <c r="G151" i="2"/>
  <c r="J150" i="2"/>
  <c r="I150" i="2"/>
  <c r="H150" i="2"/>
  <c r="G150" i="2"/>
  <c r="J149" i="2"/>
  <c r="I149" i="2"/>
  <c r="H149" i="2"/>
  <c r="G149" i="2"/>
  <c r="J148" i="2"/>
  <c r="I148" i="2"/>
  <c r="H148" i="2"/>
  <c r="G148" i="2"/>
  <c r="J147" i="2"/>
  <c r="I147" i="2"/>
  <c r="H147" i="2"/>
  <c r="G147" i="2"/>
  <c r="J146" i="2"/>
  <c r="I146" i="2"/>
  <c r="H146" i="2"/>
  <c r="G146" i="2"/>
  <c r="J145" i="2"/>
  <c r="I145" i="2"/>
  <c r="H145" i="2"/>
  <c r="G145" i="2"/>
  <c r="J144" i="2"/>
  <c r="I144" i="2"/>
  <c r="H144" i="2"/>
  <c r="G144" i="2"/>
  <c r="J143" i="2"/>
  <c r="I143" i="2"/>
  <c r="H143" i="2"/>
  <c r="G143" i="2"/>
  <c r="J142" i="2"/>
  <c r="I142" i="2"/>
  <c r="H142" i="2"/>
  <c r="G142" i="2"/>
  <c r="J141" i="2"/>
  <c r="I141" i="2"/>
  <c r="H141" i="2"/>
  <c r="G141" i="2"/>
  <c r="J140" i="2"/>
  <c r="I140" i="2"/>
  <c r="H140" i="2"/>
  <c r="G140" i="2"/>
  <c r="J139" i="2"/>
  <c r="I139" i="2"/>
  <c r="H139" i="2"/>
  <c r="G139" i="2"/>
  <c r="J138" i="2"/>
  <c r="I138" i="2"/>
  <c r="H138" i="2"/>
  <c r="G138" i="2"/>
  <c r="J137" i="2"/>
  <c r="I137" i="2"/>
  <c r="H137" i="2"/>
  <c r="G137" i="2"/>
  <c r="J136" i="2"/>
  <c r="I136" i="2"/>
  <c r="H136" i="2"/>
  <c r="G136" i="2"/>
  <c r="J135" i="2"/>
  <c r="I135" i="2"/>
  <c r="H135" i="2"/>
  <c r="G135" i="2"/>
  <c r="J134" i="2"/>
  <c r="I134" i="2"/>
  <c r="H134" i="2"/>
  <c r="G134" i="2"/>
  <c r="J133" i="2"/>
  <c r="I133" i="2"/>
  <c r="H133" i="2"/>
  <c r="G133" i="2"/>
  <c r="J132" i="2"/>
  <c r="I132" i="2"/>
  <c r="H132" i="2"/>
  <c r="G132" i="2"/>
  <c r="J131" i="2"/>
  <c r="I131" i="2"/>
  <c r="H131" i="2"/>
  <c r="G131" i="2"/>
  <c r="J130" i="2"/>
  <c r="I130" i="2"/>
  <c r="H130" i="2"/>
  <c r="G130" i="2"/>
  <c r="J129" i="2"/>
  <c r="I129" i="2"/>
  <c r="H129" i="2"/>
  <c r="G129" i="2"/>
  <c r="J128" i="2"/>
  <c r="I128" i="2"/>
  <c r="H128" i="2"/>
  <c r="G128" i="2"/>
  <c r="J127" i="2"/>
  <c r="I127" i="2"/>
  <c r="H127" i="2"/>
  <c r="G127" i="2"/>
  <c r="J126" i="2"/>
  <c r="I126" i="2"/>
  <c r="H126" i="2"/>
  <c r="G126" i="2"/>
  <c r="J125" i="2"/>
  <c r="I125" i="2"/>
  <c r="H125" i="2"/>
  <c r="G125" i="2"/>
  <c r="J124" i="2"/>
  <c r="I124" i="2"/>
  <c r="H124" i="2"/>
  <c r="G124" i="2"/>
  <c r="J123" i="2"/>
  <c r="I123" i="2"/>
  <c r="H123" i="2"/>
  <c r="G123" i="2"/>
  <c r="J122" i="2"/>
  <c r="I122" i="2"/>
  <c r="H122" i="2"/>
  <c r="G122" i="2"/>
  <c r="J121" i="2"/>
  <c r="I121" i="2"/>
  <c r="H121" i="2"/>
  <c r="G121" i="2"/>
  <c r="J120" i="2"/>
  <c r="I120" i="2"/>
  <c r="H120" i="2"/>
  <c r="G120" i="2"/>
  <c r="J119" i="2"/>
  <c r="I119" i="2"/>
  <c r="H119" i="2"/>
  <c r="G119" i="2"/>
  <c r="J118" i="2"/>
  <c r="I118" i="2"/>
  <c r="H118" i="2"/>
  <c r="G118" i="2"/>
  <c r="J117" i="2"/>
  <c r="I117" i="2"/>
  <c r="H117" i="2"/>
  <c r="G117" i="2"/>
  <c r="J116" i="2"/>
  <c r="I116" i="2"/>
  <c r="H116" i="2"/>
  <c r="G116" i="2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J105" i="2"/>
  <c r="I105" i="2"/>
  <c r="H105" i="2"/>
  <c r="G105" i="2"/>
  <c r="J104" i="2"/>
  <c r="I104" i="2"/>
  <c r="H104" i="2"/>
  <c r="G104" i="2"/>
  <c r="J103" i="2"/>
  <c r="I103" i="2"/>
  <c r="H103" i="2"/>
  <c r="G103" i="2"/>
  <c r="J102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9" i="2"/>
  <c r="I89" i="2"/>
  <c r="H89" i="2"/>
  <c r="G89" i="2"/>
  <c r="J88" i="2"/>
  <c r="I88" i="2"/>
  <c r="H88" i="2"/>
  <c r="G88" i="2"/>
  <c r="J87" i="2"/>
  <c r="I87" i="2"/>
  <c r="H87" i="2"/>
  <c r="G87" i="2"/>
  <c r="J86" i="2"/>
  <c r="I86" i="2"/>
  <c r="H86" i="2"/>
  <c r="G86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80" i="2"/>
  <c r="I80" i="2"/>
  <c r="H80" i="2"/>
  <c r="G80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J53" i="2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F11" i="2"/>
  <c r="G11" i="2" s="1"/>
  <c r="J9" i="2"/>
  <c r="I9" i="2"/>
  <c r="F9" i="2"/>
  <c r="G9" i="2" s="1"/>
  <c r="J8" i="2"/>
  <c r="I8" i="2"/>
  <c r="F8" i="2"/>
  <c r="H8" i="2" s="1"/>
  <c r="J6" i="2"/>
  <c r="I6" i="2"/>
  <c r="F6" i="2"/>
  <c r="H6" i="2" s="1"/>
  <c r="J4" i="2"/>
  <c r="I4" i="2"/>
  <c r="F4" i="2"/>
  <c r="H4" i="2" s="1"/>
  <c r="J3" i="2"/>
  <c r="I3" i="2"/>
  <c r="F3" i="2"/>
  <c r="G3" i="2" s="1"/>
  <c r="J2" i="2"/>
  <c r="I2" i="2"/>
  <c r="F2" i="2"/>
  <c r="H2" i="2" s="1"/>
  <c r="F42" i="1"/>
  <c r="F39" i="1"/>
  <c r="D42" i="1" s="1"/>
  <c r="F36" i="1"/>
  <c r="F33" i="1"/>
  <c r="D36" i="1" s="1"/>
  <c r="F30" i="1"/>
  <c r="F27" i="1"/>
  <c r="D30" i="1" s="1"/>
  <c r="F24" i="1"/>
  <c r="F21" i="1"/>
  <c r="D24" i="1" s="1"/>
  <c r="F18" i="1"/>
  <c r="F15" i="1"/>
  <c r="D18" i="1" s="1"/>
  <c r="F12" i="1"/>
  <c r="F9" i="1"/>
  <c r="D12" i="1" s="1"/>
  <c r="F6" i="1"/>
  <c r="F3" i="1"/>
  <c r="D6" i="1" s="1"/>
  <c r="H3" i="2" l="1"/>
  <c r="G4" i="2"/>
  <c r="H11" i="2"/>
  <c r="H9" i="2"/>
  <c r="G6" i="2"/>
  <c r="B6" i="1"/>
  <c r="B12" i="1"/>
  <c r="B18" i="1"/>
  <c r="B24" i="1"/>
  <c r="B30" i="1"/>
  <c r="B36" i="1"/>
  <c r="B42" i="1"/>
  <c r="G2" i="2"/>
  <c r="G8" i="2"/>
</calcChain>
</file>

<file path=xl/sharedStrings.xml><?xml version="1.0" encoding="utf-8"?>
<sst xmlns="http://schemas.openxmlformats.org/spreadsheetml/2006/main" count="285" uniqueCount="93">
  <si>
    <t>PEDIDOS DE CAMISAS 2026</t>
  </si>
  <si>
    <t>PACOTE 33</t>
  </si>
  <si>
    <t>DATA DO PEDIDO</t>
  </si>
  <si>
    <t>DATA DO ENVIO</t>
  </si>
  <si>
    <t>DATA DE HOJE</t>
  </si>
  <si>
    <t>TEMPODE DE ESPERA DO PEDIDO</t>
  </si>
  <si>
    <t>TEMPO DE DE ESPERA APÓS ENVIO</t>
  </si>
  <si>
    <t>DATA DE RECEBIMENTO</t>
  </si>
  <si>
    <t>DURAÇÃO DA IMPORTAÇÃO</t>
  </si>
  <si>
    <t>PACOTE 34</t>
  </si>
  <si>
    <t>PACOTE 35</t>
  </si>
  <si>
    <t>PACOTE 36</t>
  </si>
  <si>
    <t>PACOTE 37</t>
  </si>
  <si>
    <t>PACOTE 38</t>
  </si>
  <si>
    <t>PACOTE 39</t>
  </si>
  <si>
    <t>Pacote</t>
  </si>
  <si>
    <t>Data do pedido</t>
  </si>
  <si>
    <t>Data do envio</t>
  </si>
  <si>
    <t>Data de recebimento</t>
  </si>
  <si>
    <t>Status</t>
  </si>
  <si>
    <t>Dias desde pedido</t>
  </si>
  <si>
    <t>Dias desde envio</t>
  </si>
  <si>
    <t>Dias pedido→envio</t>
  </si>
  <si>
    <t>Duração importação (envio→receb.)</t>
  </si>
  <si>
    <t>Coluna</t>
  </si>
  <si>
    <t>O que significa</t>
  </si>
  <si>
    <t>Como preencher</t>
  </si>
  <si>
    <t>Identificação do pacote (ex.: 33)</t>
  </si>
  <si>
    <t>Número do pacote</t>
  </si>
  <si>
    <t>Data em que o pedido foi confirmado/feito</t>
  </si>
  <si>
    <t>Data (dd/mm/aaaa)</t>
  </si>
  <si>
    <t>Data em que o pacote foi enviado</t>
  </si>
  <si>
    <t>Data em que o pacote chegou (se chegou)</t>
  </si>
  <si>
    <t>Deixe vazio se estiver em trânsito</t>
  </si>
  <si>
    <t>Recebido ou Em trânsito</t>
  </si>
  <si>
    <t>Pode deixar que o Python calcula, se preferir</t>
  </si>
  <si>
    <t>Hoje - Data do pedido</t>
  </si>
  <si>
    <t>Pode deixar vazio; Python calcula</t>
  </si>
  <si>
    <t>Hoje - Data do envio</t>
  </si>
  <si>
    <t>Data do envio - Data do pedido</t>
  </si>
  <si>
    <t>Data de recebimento - Data do envio</t>
  </si>
  <si>
    <t>35.1</t>
  </si>
  <si>
    <t>35.2</t>
  </si>
  <si>
    <t>36.1</t>
  </si>
  <si>
    <t>36.2</t>
  </si>
  <si>
    <t>38.1</t>
  </si>
  <si>
    <t>38.2</t>
  </si>
  <si>
    <t>Código de Rastreio</t>
  </si>
  <si>
    <t>LZ373185768CN</t>
  </si>
  <si>
    <t>LZ373185825CN</t>
  </si>
  <si>
    <t>LZ373185326CN</t>
  </si>
  <si>
    <t>LZ373185887CN</t>
  </si>
  <si>
    <t>LZ373185961CN</t>
  </si>
  <si>
    <t>LZ369979599CN</t>
  </si>
  <si>
    <t>LZ369979625CN</t>
  </si>
  <si>
    <t>Camisa</t>
  </si>
  <si>
    <t>Tamanho</t>
  </si>
  <si>
    <t>Cliente</t>
  </si>
  <si>
    <t>Flamengo 2026</t>
  </si>
  <si>
    <t>P</t>
  </si>
  <si>
    <t>Estoque</t>
  </si>
  <si>
    <t>M</t>
  </si>
  <si>
    <t>G</t>
  </si>
  <si>
    <t>GG</t>
  </si>
  <si>
    <t>Flamengo 2026 + personalização (LEONARDO; Nº15)</t>
  </si>
  <si>
    <t>Flamengo 2026 + personalização (ROGÉRIO; Nº5)</t>
  </si>
  <si>
    <t>Flamengo 2026 + Patch (LIBERTADORES E BRASILEIRAO) + Personalização (ZICO;Nº10)</t>
  </si>
  <si>
    <t>Flamengo 2026 + Patch (LIBERTADORES E BRASILEIRAO)</t>
  </si>
  <si>
    <t>Flamengo 2026 + Personalização (CARRASCAL;Nº15)</t>
  </si>
  <si>
    <t>Flamengo 2026 + Patrocinadores + Personalização (MARIA DA PAZ;Nº8)</t>
  </si>
  <si>
    <t>Flamengo Treino + Personalização (KAYLLA KLAUS FILHO; Nº2426)</t>
  </si>
  <si>
    <t>Corinthians III Kid</t>
  </si>
  <si>
    <t>3XL</t>
  </si>
  <si>
    <t>4XL</t>
  </si>
  <si>
    <t>Meninão (calabresa)</t>
  </si>
  <si>
    <t>Rogerio (Calabresa)</t>
  </si>
  <si>
    <t>Will (Calabresa)</t>
  </si>
  <si>
    <t>Dieckson (Calabresa)</t>
  </si>
  <si>
    <t>Lukinha (Calabresa)</t>
  </si>
  <si>
    <t>Pancinha (Calabresa)</t>
  </si>
  <si>
    <t>Dije (Calabresa)</t>
  </si>
  <si>
    <t>Advogado</t>
  </si>
  <si>
    <t>Yagoh</t>
  </si>
  <si>
    <t>Flamengo 2026 + personalização (TRAVASSOS;Nº8) + Patch Libertadores + Patrocinios 2025</t>
  </si>
  <si>
    <t>Flamengo 2026 + personalização (GRIZI;Nº8) + Patch Libertadores + Patrocinios 2025</t>
  </si>
  <si>
    <t>Flamengo 2026 + personalização (CRUZ;Nº10) + Patch Libertadores + Patrocinios 2025</t>
  </si>
  <si>
    <t>Flamengo 2026 + personalização (CRUZ;Nº7) + Patch Libertadores + Patrocinios 2025</t>
  </si>
  <si>
    <t>Flamengo 2026 + personalização (MOSER;Nº12) + Patch Libertadores+ Patrocinios 2025</t>
  </si>
  <si>
    <t>Grizi</t>
  </si>
  <si>
    <t>Flamengo Feminina 2026</t>
  </si>
  <si>
    <t>Vasco Preta 2026</t>
  </si>
  <si>
    <t>Vasco Branca 2026</t>
  </si>
  <si>
    <t>Qta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</si>
</sst>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Pacotes" displayName="TabelaPacotes" ref="A1:J11" headerRowDxfId="11" dataDxfId="9" totalsRowDxfId="10">
  <autoFilter ref="A1:J11"/>
  <tableColumns count="10">
    <tableColumn id="1" name="Pacote" dataDxfId="20"/>
    <tableColumn id="10" name="Código de Rastreio" dataDxfId="8"/>
    <tableColumn id="2" name="Data do pedido" dataDxfId="19"/>
    <tableColumn id="3" name="Data do envio" dataDxfId="18"/>
    <tableColumn id="4" name="Data de recebimento" dataDxfId="17"/>
    <tableColumn id="5" name="Status" dataDxfId="16"/>
    <tableColumn id="6" name="Dias desde pedido" dataDxfId="15"/>
    <tableColumn id="7" name="Dias desde envio" dataDxfId="14"/>
    <tableColumn id="8" name="Dias pedido→envio" dataDxfId="13"/>
    <tableColumn id="9" name="Duração importação (envio→receb.)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F36" totalsRowShown="0" headerRowDxfId="1" dataDxfId="0">
  <autoFilter ref="A1:F36"/>
  <tableColumns count="6">
    <tableColumn id="1" name="Pacote" dataDxfId="7"/>
    <tableColumn id="6" name="Código de Rastreio" dataDxfId="6"/>
    <tableColumn id="2" name="Camisa" dataDxfId="5"/>
    <tableColumn id="3" name="Tamanho" dataDxfId="4"/>
    <tableColumn id="5" name="Qta" dataDxfId="3"/>
    <tableColumn id="4" name="Cli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x14ac:dyDescent="0.25"/>
  <cols>
    <col min="1" max="1" width="13" customWidth="1"/>
    <col min="2" max="2" width="22.42578125" customWidth="1"/>
    <col min="3" max="3" width="9.140625" customWidth="1"/>
    <col min="4" max="4" width="20.42578125" customWidth="1"/>
    <col min="5" max="5" width="15.140625" customWidth="1"/>
    <col min="6" max="6" width="13.5703125" customWidth="1"/>
  </cols>
  <sheetData>
    <row r="1" spans="1:6" ht="15.75" customHeight="1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4" t="s">
        <v>2</v>
      </c>
      <c r="C2" s="5"/>
      <c r="D2" s="5" t="s">
        <v>3</v>
      </c>
      <c r="E2" s="5"/>
      <c r="F2" s="6" t="s">
        <v>4</v>
      </c>
    </row>
    <row r="3" spans="1:6" x14ac:dyDescent="0.25">
      <c r="A3" s="7"/>
      <c r="B3" s="8">
        <v>46036</v>
      </c>
      <c r="C3" s="9"/>
      <c r="D3" s="10">
        <v>46038</v>
      </c>
      <c r="E3" s="9"/>
      <c r="F3" s="11">
        <f ca="1">TODAY()</f>
        <v>46077</v>
      </c>
    </row>
    <row r="4" spans="1:6" x14ac:dyDescent="0.25">
      <c r="A4" s="7"/>
      <c r="B4" s="12"/>
      <c r="C4" s="12"/>
      <c r="D4" s="12"/>
      <c r="E4" s="12"/>
      <c r="F4" s="13"/>
    </row>
    <row r="5" spans="1:6" ht="45" customHeight="1" x14ac:dyDescent="0.25">
      <c r="A5" s="7"/>
      <c r="B5" s="14" t="s">
        <v>5</v>
      </c>
      <c r="C5" s="9"/>
      <c r="D5" s="15" t="s">
        <v>6</v>
      </c>
      <c r="E5" s="15" t="s">
        <v>7</v>
      </c>
      <c r="F5" s="16" t="s">
        <v>8</v>
      </c>
    </row>
    <row r="6" spans="1:6" ht="15.75" customHeight="1" x14ac:dyDescent="0.25">
      <c r="A6" s="17"/>
      <c r="B6" s="18">
        <f ca="1">F3-B3</f>
        <v>41</v>
      </c>
      <c r="C6" s="19"/>
      <c r="D6" s="19">
        <f ca="1">F3-D3</f>
        <v>39</v>
      </c>
      <c r="E6" s="20">
        <v>46058</v>
      </c>
      <c r="F6" s="21">
        <f>IF(ISNUMBER(E6),E6-D3,"")</f>
        <v>20</v>
      </c>
    </row>
    <row r="7" spans="1:6" ht="15.75" customHeight="1" x14ac:dyDescent="0.25"/>
    <row r="8" spans="1:6" x14ac:dyDescent="0.25">
      <c r="A8" s="3" t="s">
        <v>9</v>
      </c>
      <c r="B8" s="4" t="s">
        <v>2</v>
      </c>
      <c r="C8" s="5"/>
      <c r="D8" s="5" t="s">
        <v>3</v>
      </c>
      <c r="E8" s="5"/>
      <c r="F8" s="6" t="s">
        <v>4</v>
      </c>
    </row>
    <row r="9" spans="1:6" x14ac:dyDescent="0.25">
      <c r="A9" s="7"/>
      <c r="B9" s="8">
        <v>46030</v>
      </c>
      <c r="C9" s="9"/>
      <c r="D9" s="10">
        <v>46038</v>
      </c>
      <c r="E9" s="9"/>
      <c r="F9" s="11">
        <f ca="1">TODAY()</f>
        <v>46077</v>
      </c>
    </row>
    <row r="10" spans="1:6" x14ac:dyDescent="0.25">
      <c r="A10" s="7"/>
      <c r="B10" s="12"/>
      <c r="C10" s="12"/>
      <c r="D10" s="12"/>
      <c r="E10" s="12"/>
      <c r="F10" s="13"/>
    </row>
    <row r="11" spans="1:6" ht="30" customHeight="1" x14ac:dyDescent="0.25">
      <c r="A11" s="7"/>
      <c r="B11" s="14" t="s">
        <v>5</v>
      </c>
      <c r="C11" s="9"/>
      <c r="D11" s="15" t="s">
        <v>6</v>
      </c>
      <c r="E11" s="15" t="s">
        <v>7</v>
      </c>
      <c r="F11" s="16" t="s">
        <v>8</v>
      </c>
    </row>
    <row r="12" spans="1:6" ht="15.75" customHeight="1" x14ac:dyDescent="0.25">
      <c r="A12" s="17"/>
      <c r="B12" s="18">
        <f ca="1">F9-B9</f>
        <v>47</v>
      </c>
      <c r="C12" s="19"/>
      <c r="D12" s="19">
        <f ca="1">F9-D9</f>
        <v>39</v>
      </c>
      <c r="E12" s="20">
        <v>46065</v>
      </c>
      <c r="F12" s="21">
        <f>IF(ISNUMBER(E12),E12-D9,"")</f>
        <v>27</v>
      </c>
    </row>
    <row r="13" spans="1:6" ht="15.75" customHeight="1" x14ac:dyDescent="0.25"/>
    <row r="14" spans="1:6" x14ac:dyDescent="0.25">
      <c r="A14" s="3" t="s">
        <v>10</v>
      </c>
      <c r="B14" s="4" t="s">
        <v>2</v>
      </c>
      <c r="C14" s="5"/>
      <c r="D14" s="5" t="s">
        <v>3</v>
      </c>
      <c r="E14" s="5"/>
      <c r="F14" s="6" t="s">
        <v>4</v>
      </c>
    </row>
    <row r="15" spans="1:6" x14ac:dyDescent="0.25">
      <c r="A15" s="7"/>
      <c r="B15" s="8">
        <v>46049</v>
      </c>
      <c r="C15" s="9"/>
      <c r="D15" s="10">
        <v>46051</v>
      </c>
      <c r="E15" s="9"/>
      <c r="F15" s="11">
        <f ca="1">TODAY()</f>
        <v>46077</v>
      </c>
    </row>
    <row r="16" spans="1:6" x14ac:dyDescent="0.25">
      <c r="A16" s="7"/>
      <c r="B16" s="12"/>
      <c r="C16" s="12"/>
      <c r="D16" s="12"/>
      <c r="E16" s="12"/>
      <c r="F16" s="13"/>
    </row>
    <row r="17" spans="1:6" ht="30" customHeight="1" x14ac:dyDescent="0.25">
      <c r="A17" s="7"/>
      <c r="B17" s="14" t="s">
        <v>5</v>
      </c>
      <c r="C17" s="9"/>
      <c r="D17" s="15" t="s">
        <v>6</v>
      </c>
      <c r="E17" s="15" t="s">
        <v>7</v>
      </c>
      <c r="F17" s="16" t="s">
        <v>8</v>
      </c>
    </row>
    <row r="18" spans="1:6" ht="15.75" customHeight="1" x14ac:dyDescent="0.25">
      <c r="A18" s="17"/>
      <c r="B18" s="18">
        <f ca="1">F15-B15</f>
        <v>28</v>
      </c>
      <c r="C18" s="19"/>
      <c r="D18" s="19">
        <f ca="1">F15-D15</f>
        <v>26</v>
      </c>
      <c r="E18" s="20"/>
      <c r="F18" s="21" t="str">
        <f>IF(ISNUMBER(E18),E18-D15,"")</f>
        <v/>
      </c>
    </row>
    <row r="19" spans="1:6" ht="15.75" customHeight="1" x14ac:dyDescent="0.25"/>
    <row r="20" spans="1:6" x14ac:dyDescent="0.25">
      <c r="A20" s="3" t="s">
        <v>11</v>
      </c>
      <c r="B20" s="4" t="s">
        <v>2</v>
      </c>
      <c r="C20" s="5"/>
      <c r="D20" s="5" t="s">
        <v>3</v>
      </c>
      <c r="E20" s="5"/>
      <c r="F20" s="6" t="s">
        <v>4</v>
      </c>
    </row>
    <row r="21" spans="1:6" x14ac:dyDescent="0.25">
      <c r="A21" s="7"/>
      <c r="B21" s="8">
        <v>46049</v>
      </c>
      <c r="C21" s="9"/>
      <c r="D21" s="10">
        <v>46052</v>
      </c>
      <c r="E21" s="9"/>
      <c r="F21" s="11">
        <f ca="1">TODAY()</f>
        <v>46077</v>
      </c>
    </row>
    <row r="22" spans="1:6" x14ac:dyDescent="0.25">
      <c r="A22" s="7"/>
      <c r="B22" s="12"/>
      <c r="C22" s="12"/>
      <c r="D22" s="12"/>
      <c r="E22" s="12"/>
      <c r="F22" s="13"/>
    </row>
    <row r="23" spans="1:6" ht="30" customHeight="1" x14ac:dyDescent="0.25">
      <c r="A23" s="7"/>
      <c r="B23" s="14" t="s">
        <v>5</v>
      </c>
      <c r="C23" s="9"/>
      <c r="D23" s="15" t="s">
        <v>6</v>
      </c>
      <c r="E23" s="15" t="s">
        <v>7</v>
      </c>
      <c r="F23" s="16" t="s">
        <v>8</v>
      </c>
    </row>
    <row r="24" spans="1:6" ht="15.75" customHeight="1" x14ac:dyDescent="0.25">
      <c r="A24" s="17"/>
      <c r="B24" s="18">
        <f ca="1">F21-B21</f>
        <v>28</v>
      </c>
      <c r="C24" s="19"/>
      <c r="D24" s="19">
        <f ca="1">F21-D21</f>
        <v>25</v>
      </c>
      <c r="E24" s="20"/>
      <c r="F24" s="21" t="str">
        <f>IF(ISNUMBER(E24),E24-D21,"")</f>
        <v/>
      </c>
    </row>
    <row r="25" spans="1:6" ht="15.75" customHeight="1" x14ac:dyDescent="0.25"/>
    <row r="26" spans="1:6" x14ac:dyDescent="0.25">
      <c r="A26" s="3" t="s">
        <v>12</v>
      </c>
      <c r="B26" s="4" t="s">
        <v>2</v>
      </c>
      <c r="C26" s="5"/>
      <c r="D26" s="5" t="s">
        <v>3</v>
      </c>
      <c r="E26" s="5"/>
      <c r="F26" s="6" t="s">
        <v>4</v>
      </c>
    </row>
    <row r="27" spans="1:6" x14ac:dyDescent="0.25">
      <c r="A27" s="7"/>
      <c r="B27" s="8">
        <v>46049</v>
      </c>
      <c r="C27" s="9"/>
      <c r="D27" s="10">
        <v>46052</v>
      </c>
      <c r="E27" s="9"/>
      <c r="F27" s="11">
        <f ca="1">TODAY()</f>
        <v>46077</v>
      </c>
    </row>
    <row r="28" spans="1:6" x14ac:dyDescent="0.25">
      <c r="A28" s="7"/>
      <c r="B28" s="12"/>
      <c r="C28" s="12"/>
      <c r="D28" s="12"/>
      <c r="E28" s="12"/>
      <c r="F28" s="13"/>
    </row>
    <row r="29" spans="1:6" ht="30" customHeight="1" x14ac:dyDescent="0.25">
      <c r="A29" s="7"/>
      <c r="B29" s="14" t="s">
        <v>5</v>
      </c>
      <c r="C29" s="9"/>
      <c r="D29" s="15" t="s">
        <v>6</v>
      </c>
      <c r="E29" s="15" t="s">
        <v>7</v>
      </c>
      <c r="F29" s="16" t="s">
        <v>8</v>
      </c>
    </row>
    <row r="30" spans="1:6" ht="15.75" customHeight="1" x14ac:dyDescent="0.25">
      <c r="A30" s="17"/>
      <c r="B30" s="18">
        <f ca="1">F27-B27</f>
        <v>28</v>
      </c>
      <c r="C30" s="19"/>
      <c r="D30" s="19">
        <f ca="1">F27-D27</f>
        <v>25</v>
      </c>
      <c r="E30" s="20"/>
      <c r="F30" s="21" t="str">
        <f>IF(ISNUMBER(E30),E30-D27,"")</f>
        <v/>
      </c>
    </row>
    <row r="31" spans="1:6" ht="15.75" customHeight="1" x14ac:dyDescent="0.25"/>
    <row r="32" spans="1:6" x14ac:dyDescent="0.25">
      <c r="A32" s="3" t="s">
        <v>13</v>
      </c>
      <c r="B32" s="4" t="s">
        <v>2</v>
      </c>
      <c r="C32" s="5"/>
      <c r="D32" s="5" t="s">
        <v>3</v>
      </c>
      <c r="E32" s="5"/>
      <c r="F32" s="6" t="s">
        <v>4</v>
      </c>
    </row>
    <row r="33" spans="1:6" x14ac:dyDescent="0.25">
      <c r="A33" s="7"/>
      <c r="B33" s="8">
        <v>46051</v>
      </c>
      <c r="C33" s="9"/>
      <c r="D33" s="10">
        <v>46052</v>
      </c>
      <c r="E33" s="9"/>
      <c r="F33" s="11">
        <f ca="1">TODAY()</f>
        <v>46077</v>
      </c>
    </row>
    <row r="34" spans="1:6" x14ac:dyDescent="0.25">
      <c r="A34" s="7"/>
      <c r="B34" s="12"/>
      <c r="C34" s="12"/>
      <c r="D34" s="12"/>
      <c r="E34" s="12"/>
      <c r="F34" s="13"/>
    </row>
    <row r="35" spans="1:6" ht="30" customHeight="1" x14ac:dyDescent="0.25">
      <c r="A35" s="7"/>
      <c r="B35" s="14" t="s">
        <v>5</v>
      </c>
      <c r="C35" s="9"/>
      <c r="D35" s="15" t="s">
        <v>6</v>
      </c>
      <c r="E35" s="15" t="s">
        <v>7</v>
      </c>
      <c r="F35" s="16" t="s">
        <v>8</v>
      </c>
    </row>
    <row r="36" spans="1:6" ht="15.75" customHeight="1" x14ac:dyDescent="0.25">
      <c r="A36" s="17"/>
      <c r="B36" s="18">
        <f ca="1">F33-B33</f>
        <v>26</v>
      </c>
      <c r="C36" s="19"/>
      <c r="D36" s="19">
        <f ca="1">F33-D33</f>
        <v>25</v>
      </c>
      <c r="E36" s="20"/>
      <c r="F36" s="21" t="str">
        <f>IF(ISNUMBER(E36),E36-D33,"")</f>
        <v/>
      </c>
    </row>
    <row r="37" spans="1:6" ht="15.75" customHeight="1" x14ac:dyDescent="0.25"/>
    <row r="38" spans="1:6" x14ac:dyDescent="0.25">
      <c r="A38" s="3" t="s">
        <v>14</v>
      </c>
      <c r="B38" s="4" t="s">
        <v>2</v>
      </c>
      <c r="C38" s="5"/>
      <c r="D38" s="5" t="s">
        <v>3</v>
      </c>
      <c r="E38" s="5"/>
      <c r="F38" s="6" t="s">
        <v>4</v>
      </c>
    </row>
    <row r="39" spans="1:6" x14ac:dyDescent="0.25">
      <c r="A39" s="7"/>
      <c r="B39" s="8">
        <v>46056</v>
      </c>
      <c r="C39" s="9"/>
      <c r="D39" s="10">
        <v>46062</v>
      </c>
      <c r="E39" s="9"/>
      <c r="F39" s="11">
        <f ca="1">TODAY()</f>
        <v>46077</v>
      </c>
    </row>
    <row r="40" spans="1:6" x14ac:dyDescent="0.25">
      <c r="A40" s="7"/>
      <c r="B40" s="12"/>
      <c r="C40" s="12"/>
      <c r="D40" s="12"/>
      <c r="E40" s="12"/>
      <c r="F40" s="13"/>
    </row>
    <row r="41" spans="1:6" ht="30" customHeight="1" x14ac:dyDescent="0.25">
      <c r="A41" s="7"/>
      <c r="B41" s="14" t="s">
        <v>5</v>
      </c>
      <c r="C41" s="9"/>
      <c r="D41" s="15" t="s">
        <v>6</v>
      </c>
      <c r="E41" s="15" t="s">
        <v>7</v>
      </c>
      <c r="F41" s="16" t="s">
        <v>8</v>
      </c>
    </row>
    <row r="42" spans="1:6" ht="15.75" customHeight="1" x14ac:dyDescent="0.25">
      <c r="A42" s="17"/>
      <c r="B42" s="18">
        <f ca="1">F39-B39</f>
        <v>21</v>
      </c>
      <c r="C42" s="19"/>
      <c r="D42" s="19">
        <f ca="1">F39-D39</f>
        <v>15</v>
      </c>
      <c r="E42" s="20">
        <v>46073</v>
      </c>
      <c r="F42" s="21">
        <f>IF(ISNUMBER(E42),E42-D39,"")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0" style="12" customWidth="1"/>
    <col min="2" max="2" width="14.5703125" style="12" bestFit="1" customWidth="1"/>
    <col min="3" max="3" width="47" style="12" customWidth="1"/>
    <col min="4" max="4" width="15" style="12" customWidth="1"/>
    <col min="5" max="5" width="19.28515625" style="12" customWidth="1"/>
    <col min="6" max="6" width="12" style="12" customWidth="1"/>
    <col min="7" max="7" width="16" style="12" customWidth="1"/>
    <col min="8" max="9" width="15" style="12" customWidth="1"/>
    <col min="10" max="10" width="24" style="12" customWidth="1"/>
    <col min="11" max="16384" width="9.140625" style="12"/>
  </cols>
  <sheetData>
    <row r="1" spans="1:10" ht="30" x14ac:dyDescent="0.25">
      <c r="A1" s="22" t="s">
        <v>15</v>
      </c>
      <c r="B1" s="22" t="s">
        <v>47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</row>
    <row r="2" spans="1:10" x14ac:dyDescent="0.25">
      <c r="A2" s="25">
        <v>33</v>
      </c>
      <c r="B2" s="25"/>
      <c r="C2" s="26">
        <v>46036</v>
      </c>
      <c r="D2" s="26">
        <v>46038</v>
      </c>
      <c r="E2" s="26">
        <v>46058</v>
      </c>
      <c r="F2" s="25" t="str">
        <f t="shared" ref="F2:F11" si="0">IF(E2="","Em trânsito","Recebido")</f>
        <v>Recebido</v>
      </c>
      <c r="G2" s="27">
        <f t="shared" ref="G2:G12" ca="1" si="1">IF(C2="","",IF(F2="Recebido",E2-C2,TODAY()-C2))</f>
        <v>22</v>
      </c>
      <c r="H2" s="27">
        <f t="shared" ref="H2:H12" ca="1" si="2">IF(D2="","",IF(F2="Recebido",E2-D2,TODAY()-D2))</f>
        <v>20</v>
      </c>
      <c r="I2" s="27">
        <f t="shared" ref="I2:I12" si="3">IF(OR(C2="",D2=""),"",D2-C2)</f>
        <v>2</v>
      </c>
      <c r="J2" s="27">
        <f t="shared" ref="J2:J12" si="4">IF(OR(D2="",E2=""),"",E2-D2)</f>
        <v>20</v>
      </c>
    </row>
    <row r="3" spans="1:10" x14ac:dyDescent="0.25">
      <c r="A3" s="25">
        <v>34</v>
      </c>
      <c r="B3" s="25"/>
      <c r="C3" s="26">
        <v>46030</v>
      </c>
      <c r="D3" s="26">
        <v>46038</v>
      </c>
      <c r="E3" s="26">
        <v>46065</v>
      </c>
      <c r="F3" s="25" t="str">
        <f t="shared" si="0"/>
        <v>Recebido</v>
      </c>
      <c r="G3" s="27">
        <f t="shared" ca="1" si="1"/>
        <v>35</v>
      </c>
      <c r="H3" s="27">
        <f t="shared" ca="1" si="2"/>
        <v>27</v>
      </c>
      <c r="I3" s="27">
        <f t="shared" si="3"/>
        <v>8</v>
      </c>
      <c r="J3" s="27">
        <f t="shared" si="4"/>
        <v>27</v>
      </c>
    </row>
    <row r="4" spans="1:10" x14ac:dyDescent="0.25">
      <c r="A4" s="25" t="s">
        <v>41</v>
      </c>
      <c r="B4" s="25" t="s">
        <v>48</v>
      </c>
      <c r="C4" s="26">
        <v>46049</v>
      </c>
      <c r="D4" s="26">
        <v>46051</v>
      </c>
      <c r="E4" s="26"/>
      <c r="F4" s="25" t="str">
        <f t="shared" si="0"/>
        <v>Em trânsito</v>
      </c>
      <c r="G4" s="27">
        <f t="shared" ca="1" si="1"/>
        <v>28</v>
      </c>
      <c r="H4" s="27">
        <f t="shared" ca="1" si="2"/>
        <v>26</v>
      </c>
      <c r="I4" s="27">
        <f t="shared" si="3"/>
        <v>2</v>
      </c>
      <c r="J4" s="27" t="str">
        <f t="shared" si="4"/>
        <v/>
      </c>
    </row>
    <row r="5" spans="1:10" x14ac:dyDescent="0.25">
      <c r="A5" s="25" t="s">
        <v>42</v>
      </c>
      <c r="B5" s="25" t="s">
        <v>49</v>
      </c>
      <c r="C5" s="26">
        <v>46049</v>
      </c>
      <c r="D5" s="26">
        <v>46051</v>
      </c>
      <c r="E5" s="26"/>
      <c r="F5" s="25" t="str">
        <f t="shared" si="0"/>
        <v>Em trânsito</v>
      </c>
      <c r="G5" s="27">
        <f t="shared" ca="1" si="1"/>
        <v>28</v>
      </c>
      <c r="H5" s="27">
        <f t="shared" ca="1" si="2"/>
        <v>26</v>
      </c>
      <c r="I5" s="27">
        <f t="shared" si="3"/>
        <v>2</v>
      </c>
      <c r="J5" s="27" t="str">
        <f t="shared" si="4"/>
        <v/>
      </c>
    </row>
    <row r="6" spans="1:10" x14ac:dyDescent="0.25">
      <c r="A6" s="25" t="s">
        <v>43</v>
      </c>
      <c r="B6" s="25" t="s">
        <v>50</v>
      </c>
      <c r="C6" s="26">
        <v>46049</v>
      </c>
      <c r="D6" s="26">
        <v>46052</v>
      </c>
      <c r="E6" s="26"/>
      <c r="F6" s="25" t="str">
        <f t="shared" si="0"/>
        <v>Em trânsito</v>
      </c>
      <c r="G6" s="27">
        <f t="shared" ca="1" si="1"/>
        <v>28</v>
      </c>
      <c r="H6" s="27">
        <f t="shared" ca="1" si="2"/>
        <v>25</v>
      </c>
      <c r="I6" s="27">
        <f t="shared" si="3"/>
        <v>3</v>
      </c>
      <c r="J6" s="27" t="str">
        <f t="shared" si="4"/>
        <v/>
      </c>
    </row>
    <row r="7" spans="1:10" x14ac:dyDescent="0.25">
      <c r="A7" s="25" t="s">
        <v>44</v>
      </c>
      <c r="B7" s="25" t="s">
        <v>51</v>
      </c>
      <c r="C7" s="26">
        <v>46049</v>
      </c>
      <c r="D7" s="26">
        <v>46052</v>
      </c>
      <c r="E7" s="26"/>
      <c r="F7" s="25" t="str">
        <f t="shared" si="0"/>
        <v>Em trânsito</v>
      </c>
      <c r="G7" s="27">
        <f t="shared" ca="1" si="1"/>
        <v>28</v>
      </c>
      <c r="H7" s="27">
        <f t="shared" ca="1" si="2"/>
        <v>25</v>
      </c>
      <c r="I7" s="27">
        <f t="shared" si="3"/>
        <v>3</v>
      </c>
      <c r="J7" s="27" t="str">
        <f t="shared" si="4"/>
        <v/>
      </c>
    </row>
    <row r="8" spans="1:10" x14ac:dyDescent="0.25">
      <c r="A8" s="25">
        <v>37</v>
      </c>
      <c r="B8" s="25" t="s">
        <v>52</v>
      </c>
      <c r="C8" s="26">
        <v>46049</v>
      </c>
      <c r="D8" s="26">
        <v>46052</v>
      </c>
      <c r="E8" s="26"/>
      <c r="F8" s="25" t="str">
        <f t="shared" si="0"/>
        <v>Em trânsito</v>
      </c>
      <c r="G8" s="27">
        <f t="shared" ca="1" si="1"/>
        <v>28</v>
      </c>
      <c r="H8" s="27">
        <f t="shared" ca="1" si="2"/>
        <v>25</v>
      </c>
      <c r="I8" s="27">
        <f t="shared" si="3"/>
        <v>3</v>
      </c>
      <c r="J8" s="27" t="str">
        <f t="shared" si="4"/>
        <v/>
      </c>
    </row>
    <row r="9" spans="1:10" x14ac:dyDescent="0.25">
      <c r="A9" s="25" t="s">
        <v>45</v>
      </c>
      <c r="B9" s="25" t="s">
        <v>53</v>
      </c>
      <c r="C9" s="26">
        <v>46051</v>
      </c>
      <c r="D9" s="26">
        <v>46052</v>
      </c>
      <c r="E9" s="26"/>
      <c r="F9" s="25" t="str">
        <f t="shared" si="0"/>
        <v>Em trânsito</v>
      </c>
      <c r="G9" s="27">
        <f t="shared" ca="1" si="1"/>
        <v>26</v>
      </c>
      <c r="H9" s="27">
        <f t="shared" ca="1" si="2"/>
        <v>25</v>
      </c>
      <c r="I9" s="27">
        <f t="shared" si="3"/>
        <v>1</v>
      </c>
      <c r="J9" s="27" t="str">
        <f t="shared" si="4"/>
        <v/>
      </c>
    </row>
    <row r="10" spans="1:10" x14ac:dyDescent="0.25">
      <c r="A10" s="25" t="s">
        <v>46</v>
      </c>
      <c r="B10" s="25" t="s">
        <v>54</v>
      </c>
      <c r="C10" s="26">
        <v>46051</v>
      </c>
      <c r="D10" s="26">
        <v>46052</v>
      </c>
      <c r="E10" s="26"/>
      <c r="F10" s="25" t="str">
        <f t="shared" si="0"/>
        <v>Em trânsito</v>
      </c>
      <c r="G10" s="27">
        <f t="shared" ca="1" si="1"/>
        <v>26</v>
      </c>
      <c r="H10" s="27">
        <f t="shared" ca="1" si="2"/>
        <v>25</v>
      </c>
      <c r="I10" s="27">
        <f t="shared" si="3"/>
        <v>1</v>
      </c>
      <c r="J10" s="27" t="str">
        <f t="shared" si="4"/>
        <v/>
      </c>
    </row>
    <row r="11" spans="1:10" x14ac:dyDescent="0.25">
      <c r="A11" s="25">
        <v>39</v>
      </c>
      <c r="B11" s="25"/>
      <c r="C11" s="26">
        <v>46056</v>
      </c>
      <c r="D11" s="26">
        <v>46062</v>
      </c>
      <c r="E11" s="26">
        <v>46073</v>
      </c>
      <c r="F11" s="25" t="str">
        <f t="shared" si="0"/>
        <v>Recebido</v>
      </c>
      <c r="G11" s="27">
        <f t="shared" ca="1" si="1"/>
        <v>17</v>
      </c>
      <c r="H11" s="27">
        <f t="shared" ca="1" si="2"/>
        <v>11</v>
      </c>
      <c r="I11" s="27">
        <f t="shared" si="3"/>
        <v>6</v>
      </c>
      <c r="J11" s="27">
        <f t="shared" si="4"/>
        <v>11</v>
      </c>
    </row>
    <row r="12" spans="1:10" x14ac:dyDescent="0.25">
      <c r="C12" s="28"/>
      <c r="D12" s="28"/>
      <c r="E12" s="28"/>
      <c r="G12" s="29" t="str">
        <f t="shared" ca="1" si="1"/>
        <v/>
      </c>
      <c r="H12" s="29" t="str">
        <f t="shared" ca="1" si="2"/>
        <v/>
      </c>
      <c r="I12" s="29" t="str">
        <f t="shared" si="3"/>
        <v/>
      </c>
      <c r="J12" s="29" t="str">
        <f t="shared" si="4"/>
        <v/>
      </c>
    </row>
    <row r="13" spans="1:10" x14ac:dyDescent="0.25">
      <c r="C13" s="28"/>
      <c r="D13" s="28"/>
      <c r="E13" s="28"/>
      <c r="G13" s="29" t="str">
        <f t="shared" ref="G13:G37" ca="1" si="5">IF(C13="","",IF(F13="Recebido",E13-C13,TODAY()-C13))</f>
        <v/>
      </c>
      <c r="H13" s="29" t="str">
        <f t="shared" ref="H13:H37" ca="1" si="6">IF(D13="","",IF(F13="Recebido",E13-D13,TODAY()-D13))</f>
        <v/>
      </c>
      <c r="I13" s="29" t="str">
        <f t="shared" ref="I13:I37" si="7">IF(OR(C13="",D13=""),"",D13-C13)</f>
        <v/>
      </c>
      <c r="J13" s="29" t="str">
        <f t="shared" ref="J13:J37" si="8">IF(OR(D13="",E13=""),"",E13-D13)</f>
        <v/>
      </c>
    </row>
    <row r="14" spans="1:10" x14ac:dyDescent="0.25">
      <c r="C14" s="28"/>
      <c r="D14" s="28"/>
      <c r="E14" s="28"/>
      <c r="G14" s="29" t="str">
        <f t="shared" ca="1" si="5"/>
        <v/>
      </c>
      <c r="H14" s="29" t="str">
        <f t="shared" ca="1" si="6"/>
        <v/>
      </c>
      <c r="I14" s="29" t="str">
        <f t="shared" si="7"/>
        <v/>
      </c>
      <c r="J14" s="29" t="str">
        <f t="shared" si="8"/>
        <v/>
      </c>
    </row>
    <row r="15" spans="1:10" x14ac:dyDescent="0.25">
      <c r="C15" s="28"/>
      <c r="D15" s="28"/>
      <c r="E15" s="28"/>
      <c r="G15" s="29" t="str">
        <f t="shared" ca="1" si="5"/>
        <v/>
      </c>
      <c r="H15" s="29" t="str">
        <f t="shared" ca="1" si="6"/>
        <v/>
      </c>
      <c r="I15" s="29" t="str">
        <f t="shared" si="7"/>
        <v/>
      </c>
      <c r="J15" s="29" t="str">
        <f t="shared" si="8"/>
        <v/>
      </c>
    </row>
    <row r="16" spans="1:10" x14ac:dyDescent="0.25">
      <c r="C16" s="28"/>
      <c r="D16" s="28"/>
      <c r="E16" s="28"/>
      <c r="G16" s="29" t="str">
        <f t="shared" ca="1" si="5"/>
        <v/>
      </c>
      <c r="H16" s="29" t="str">
        <f t="shared" ca="1" si="6"/>
        <v/>
      </c>
      <c r="I16" s="29" t="str">
        <f t="shared" si="7"/>
        <v/>
      </c>
      <c r="J16" s="29" t="str">
        <f t="shared" si="8"/>
        <v/>
      </c>
    </row>
    <row r="17" spans="3:10" x14ac:dyDescent="0.25">
      <c r="C17" s="28"/>
      <c r="D17" s="28"/>
      <c r="E17" s="28"/>
      <c r="G17" s="29" t="str">
        <f t="shared" ca="1" si="5"/>
        <v/>
      </c>
      <c r="H17" s="29" t="str">
        <f t="shared" ca="1" si="6"/>
        <v/>
      </c>
      <c r="I17" s="29" t="str">
        <f t="shared" si="7"/>
        <v/>
      </c>
      <c r="J17" s="29" t="str">
        <f t="shared" si="8"/>
        <v/>
      </c>
    </row>
    <row r="18" spans="3:10" x14ac:dyDescent="0.25">
      <c r="C18" s="28"/>
      <c r="D18" s="28"/>
      <c r="E18" s="28"/>
      <c r="G18" s="29" t="str">
        <f t="shared" ca="1" si="5"/>
        <v/>
      </c>
      <c r="H18" s="29" t="str">
        <f t="shared" ca="1" si="6"/>
        <v/>
      </c>
      <c r="I18" s="29" t="str">
        <f t="shared" si="7"/>
        <v/>
      </c>
      <c r="J18" s="29" t="str">
        <f t="shared" si="8"/>
        <v/>
      </c>
    </row>
    <row r="19" spans="3:10" x14ac:dyDescent="0.25">
      <c r="C19" s="28"/>
      <c r="D19" s="28"/>
      <c r="E19" s="28"/>
      <c r="G19" s="29" t="str">
        <f t="shared" ca="1" si="5"/>
        <v/>
      </c>
      <c r="H19" s="29" t="str">
        <f t="shared" ca="1" si="6"/>
        <v/>
      </c>
      <c r="I19" s="29" t="str">
        <f t="shared" si="7"/>
        <v/>
      </c>
      <c r="J19" s="29" t="str">
        <f t="shared" si="8"/>
        <v/>
      </c>
    </row>
    <row r="20" spans="3:10" x14ac:dyDescent="0.25">
      <c r="C20" s="28"/>
      <c r="D20" s="28"/>
      <c r="E20" s="28"/>
      <c r="G20" s="29" t="str">
        <f t="shared" ca="1" si="5"/>
        <v/>
      </c>
      <c r="H20" s="29" t="str">
        <f t="shared" ca="1" si="6"/>
        <v/>
      </c>
      <c r="I20" s="29" t="str">
        <f t="shared" si="7"/>
        <v/>
      </c>
      <c r="J20" s="29" t="str">
        <f t="shared" si="8"/>
        <v/>
      </c>
    </row>
    <row r="21" spans="3:10" x14ac:dyDescent="0.25">
      <c r="C21" s="28"/>
      <c r="D21" s="28"/>
      <c r="E21" s="28"/>
      <c r="G21" s="29" t="str">
        <f t="shared" ca="1" si="5"/>
        <v/>
      </c>
      <c r="H21" s="29" t="str">
        <f t="shared" ca="1" si="6"/>
        <v/>
      </c>
      <c r="I21" s="29" t="str">
        <f t="shared" si="7"/>
        <v/>
      </c>
      <c r="J21" s="29" t="str">
        <f t="shared" si="8"/>
        <v/>
      </c>
    </row>
    <row r="22" spans="3:10" x14ac:dyDescent="0.25">
      <c r="C22" s="28"/>
      <c r="D22" s="28"/>
      <c r="E22" s="28"/>
      <c r="G22" s="29" t="str">
        <f t="shared" ca="1" si="5"/>
        <v/>
      </c>
      <c r="H22" s="29" t="str">
        <f t="shared" ca="1" si="6"/>
        <v/>
      </c>
      <c r="I22" s="29" t="str">
        <f t="shared" si="7"/>
        <v/>
      </c>
      <c r="J22" s="29" t="str">
        <f t="shared" si="8"/>
        <v/>
      </c>
    </row>
    <row r="23" spans="3:10" x14ac:dyDescent="0.25">
      <c r="C23" s="28"/>
      <c r="D23" s="28"/>
      <c r="E23" s="28"/>
      <c r="G23" s="29" t="str">
        <f t="shared" ca="1" si="5"/>
        <v/>
      </c>
      <c r="H23" s="29" t="str">
        <f t="shared" ca="1" si="6"/>
        <v/>
      </c>
      <c r="I23" s="29" t="str">
        <f t="shared" si="7"/>
        <v/>
      </c>
      <c r="J23" s="29" t="str">
        <f t="shared" si="8"/>
        <v/>
      </c>
    </row>
    <row r="24" spans="3:10" x14ac:dyDescent="0.25">
      <c r="C24" s="28"/>
      <c r="D24" s="28"/>
      <c r="E24" s="28"/>
      <c r="G24" s="29" t="str">
        <f t="shared" ca="1" si="5"/>
        <v/>
      </c>
      <c r="H24" s="29" t="str">
        <f t="shared" ca="1" si="6"/>
        <v/>
      </c>
      <c r="I24" s="29" t="str">
        <f t="shared" si="7"/>
        <v/>
      </c>
      <c r="J24" s="29" t="str">
        <f t="shared" si="8"/>
        <v/>
      </c>
    </row>
    <row r="25" spans="3:10" x14ac:dyDescent="0.25">
      <c r="C25" s="28"/>
      <c r="D25" s="28"/>
      <c r="E25" s="28"/>
      <c r="G25" s="29" t="str">
        <f t="shared" ca="1" si="5"/>
        <v/>
      </c>
      <c r="H25" s="29" t="str">
        <f t="shared" ca="1" si="6"/>
        <v/>
      </c>
      <c r="I25" s="29" t="str">
        <f t="shared" si="7"/>
        <v/>
      </c>
      <c r="J25" s="29" t="str">
        <f t="shared" si="8"/>
        <v/>
      </c>
    </row>
    <row r="26" spans="3:10" x14ac:dyDescent="0.25">
      <c r="C26" s="28"/>
      <c r="D26" s="28"/>
      <c r="E26" s="28"/>
      <c r="G26" s="29" t="str">
        <f t="shared" ca="1" si="5"/>
        <v/>
      </c>
      <c r="H26" s="29" t="str">
        <f t="shared" ca="1" si="6"/>
        <v/>
      </c>
      <c r="I26" s="29" t="str">
        <f t="shared" si="7"/>
        <v/>
      </c>
      <c r="J26" s="29" t="str">
        <f t="shared" si="8"/>
        <v/>
      </c>
    </row>
    <row r="27" spans="3:10" x14ac:dyDescent="0.25">
      <c r="C27" s="28"/>
      <c r="D27" s="28"/>
      <c r="E27" s="28"/>
      <c r="G27" s="29" t="str">
        <f t="shared" ca="1" si="5"/>
        <v/>
      </c>
      <c r="H27" s="29" t="str">
        <f t="shared" ca="1" si="6"/>
        <v/>
      </c>
      <c r="I27" s="29" t="str">
        <f t="shared" si="7"/>
        <v/>
      </c>
      <c r="J27" s="29" t="str">
        <f t="shared" si="8"/>
        <v/>
      </c>
    </row>
    <row r="28" spans="3:10" x14ac:dyDescent="0.25">
      <c r="C28" s="28"/>
      <c r="D28" s="28"/>
      <c r="E28" s="28"/>
      <c r="G28" s="29" t="str">
        <f t="shared" ca="1" si="5"/>
        <v/>
      </c>
      <c r="H28" s="29" t="str">
        <f t="shared" ca="1" si="6"/>
        <v/>
      </c>
      <c r="I28" s="29" t="str">
        <f t="shared" si="7"/>
        <v/>
      </c>
      <c r="J28" s="29" t="str">
        <f t="shared" si="8"/>
        <v/>
      </c>
    </row>
    <row r="29" spans="3:10" x14ac:dyDescent="0.25">
      <c r="C29" s="28"/>
      <c r="D29" s="28"/>
      <c r="E29" s="28"/>
      <c r="G29" s="29" t="str">
        <f t="shared" ca="1" si="5"/>
        <v/>
      </c>
      <c r="H29" s="29" t="str">
        <f t="shared" ca="1" si="6"/>
        <v/>
      </c>
      <c r="I29" s="29" t="str">
        <f t="shared" si="7"/>
        <v/>
      </c>
      <c r="J29" s="29" t="str">
        <f t="shared" si="8"/>
        <v/>
      </c>
    </row>
    <row r="30" spans="3:10" x14ac:dyDescent="0.25">
      <c r="C30" s="28"/>
      <c r="D30" s="28"/>
      <c r="E30" s="28"/>
      <c r="G30" s="29" t="str">
        <f t="shared" ca="1" si="5"/>
        <v/>
      </c>
      <c r="H30" s="29" t="str">
        <f t="shared" ca="1" si="6"/>
        <v/>
      </c>
      <c r="I30" s="29" t="str">
        <f t="shared" si="7"/>
        <v/>
      </c>
      <c r="J30" s="29" t="str">
        <f t="shared" si="8"/>
        <v/>
      </c>
    </row>
    <row r="31" spans="3:10" x14ac:dyDescent="0.25">
      <c r="C31" s="28"/>
      <c r="D31" s="28"/>
      <c r="E31" s="28"/>
      <c r="G31" s="29" t="str">
        <f t="shared" ca="1" si="5"/>
        <v/>
      </c>
      <c r="H31" s="29" t="str">
        <f t="shared" ca="1" si="6"/>
        <v/>
      </c>
      <c r="I31" s="29" t="str">
        <f t="shared" si="7"/>
        <v/>
      </c>
      <c r="J31" s="29" t="str">
        <f t="shared" si="8"/>
        <v/>
      </c>
    </row>
    <row r="32" spans="3:10" x14ac:dyDescent="0.25">
      <c r="C32" s="28"/>
      <c r="D32" s="28"/>
      <c r="E32" s="28"/>
      <c r="G32" s="29" t="str">
        <f t="shared" ca="1" si="5"/>
        <v/>
      </c>
      <c r="H32" s="29" t="str">
        <f t="shared" ca="1" si="6"/>
        <v/>
      </c>
      <c r="I32" s="29" t="str">
        <f t="shared" si="7"/>
        <v/>
      </c>
      <c r="J32" s="29" t="str">
        <f t="shared" si="8"/>
        <v/>
      </c>
    </row>
    <row r="33" spans="3:10" x14ac:dyDescent="0.25">
      <c r="C33" s="28"/>
      <c r="D33" s="28"/>
      <c r="E33" s="28"/>
      <c r="G33" s="29" t="str">
        <f t="shared" ca="1" si="5"/>
        <v/>
      </c>
      <c r="H33" s="29" t="str">
        <f t="shared" ca="1" si="6"/>
        <v/>
      </c>
      <c r="I33" s="29" t="str">
        <f t="shared" si="7"/>
        <v/>
      </c>
      <c r="J33" s="29" t="str">
        <f t="shared" si="8"/>
        <v/>
      </c>
    </row>
    <row r="34" spans="3:10" x14ac:dyDescent="0.25">
      <c r="C34" s="28"/>
      <c r="D34" s="28"/>
      <c r="E34" s="28"/>
      <c r="G34" s="29" t="str">
        <f t="shared" ca="1" si="5"/>
        <v/>
      </c>
      <c r="H34" s="29" t="str">
        <f t="shared" ca="1" si="6"/>
        <v/>
      </c>
      <c r="I34" s="29" t="str">
        <f t="shared" si="7"/>
        <v/>
      </c>
      <c r="J34" s="29" t="str">
        <f t="shared" si="8"/>
        <v/>
      </c>
    </row>
    <row r="35" spans="3:10" x14ac:dyDescent="0.25">
      <c r="C35" s="28"/>
      <c r="D35" s="28"/>
      <c r="E35" s="28"/>
      <c r="G35" s="29" t="str">
        <f t="shared" ca="1" si="5"/>
        <v/>
      </c>
      <c r="H35" s="29" t="str">
        <f t="shared" ca="1" si="6"/>
        <v/>
      </c>
      <c r="I35" s="29" t="str">
        <f t="shared" si="7"/>
        <v/>
      </c>
      <c r="J35" s="29" t="str">
        <f t="shared" si="8"/>
        <v/>
      </c>
    </row>
    <row r="36" spans="3:10" x14ac:dyDescent="0.25">
      <c r="C36" s="28"/>
      <c r="D36" s="28"/>
      <c r="E36" s="28"/>
      <c r="G36" s="29" t="str">
        <f t="shared" ca="1" si="5"/>
        <v/>
      </c>
      <c r="H36" s="29" t="str">
        <f t="shared" ca="1" si="6"/>
        <v/>
      </c>
      <c r="I36" s="29" t="str">
        <f t="shared" si="7"/>
        <v/>
      </c>
      <c r="J36" s="29" t="str">
        <f t="shared" si="8"/>
        <v/>
      </c>
    </row>
    <row r="37" spans="3:10" x14ac:dyDescent="0.25">
      <c r="C37" s="28"/>
      <c r="D37" s="28"/>
      <c r="E37" s="28"/>
      <c r="G37" s="29" t="str">
        <f t="shared" ca="1" si="5"/>
        <v/>
      </c>
      <c r="H37" s="29" t="str">
        <f t="shared" ca="1" si="6"/>
        <v/>
      </c>
      <c r="I37" s="29" t="str">
        <f t="shared" si="7"/>
        <v/>
      </c>
      <c r="J37" s="29" t="str">
        <f t="shared" si="8"/>
        <v/>
      </c>
    </row>
    <row r="38" spans="3:10" x14ac:dyDescent="0.25">
      <c r="C38" s="28"/>
      <c r="D38" s="28"/>
      <c r="E38" s="28"/>
      <c r="G38" s="29" t="str">
        <f t="shared" ref="G38:G101" ca="1" si="9">IF(C38="","",IF(F38="Recebido",E38-C38,TODAY()-C38))</f>
        <v/>
      </c>
      <c r="H38" s="29" t="str">
        <f t="shared" ref="H38:H101" ca="1" si="10">IF(D38="","",IF(F38="Recebido",E38-D38,TODAY()-D38))</f>
        <v/>
      </c>
      <c r="I38" s="29" t="str">
        <f t="shared" ref="I38:I101" si="11">IF(OR(C38="",D38=""),"",D38-C38)</f>
        <v/>
      </c>
      <c r="J38" s="29" t="str">
        <f t="shared" ref="J38:J101" si="12">IF(OR(D38="",E38=""),"",E38-D38)</f>
        <v/>
      </c>
    </row>
    <row r="39" spans="3:10" x14ac:dyDescent="0.25">
      <c r="C39" s="28"/>
      <c r="D39" s="28"/>
      <c r="E39" s="28"/>
      <c r="G39" s="29" t="str">
        <f t="shared" ca="1" si="9"/>
        <v/>
      </c>
      <c r="H39" s="29" t="str">
        <f t="shared" ca="1" si="10"/>
        <v/>
      </c>
      <c r="I39" s="29" t="str">
        <f t="shared" si="11"/>
        <v/>
      </c>
      <c r="J39" s="29" t="str">
        <f t="shared" si="12"/>
        <v/>
      </c>
    </row>
    <row r="40" spans="3:10" x14ac:dyDescent="0.25">
      <c r="C40" s="28"/>
      <c r="D40" s="28"/>
      <c r="E40" s="28"/>
      <c r="G40" s="29" t="str">
        <f t="shared" ca="1" si="9"/>
        <v/>
      </c>
      <c r="H40" s="29" t="str">
        <f t="shared" ca="1" si="10"/>
        <v/>
      </c>
      <c r="I40" s="29" t="str">
        <f t="shared" si="11"/>
        <v/>
      </c>
      <c r="J40" s="29" t="str">
        <f t="shared" si="12"/>
        <v/>
      </c>
    </row>
    <row r="41" spans="3:10" x14ac:dyDescent="0.25">
      <c r="C41" s="28"/>
      <c r="D41" s="28"/>
      <c r="E41" s="28"/>
      <c r="G41" s="29" t="str">
        <f t="shared" ca="1" si="9"/>
        <v/>
      </c>
      <c r="H41" s="29" t="str">
        <f t="shared" ca="1" si="10"/>
        <v/>
      </c>
      <c r="I41" s="29" t="str">
        <f t="shared" si="11"/>
        <v/>
      </c>
      <c r="J41" s="29" t="str">
        <f t="shared" si="12"/>
        <v/>
      </c>
    </row>
    <row r="42" spans="3:10" x14ac:dyDescent="0.25">
      <c r="C42" s="28"/>
      <c r="D42" s="28"/>
      <c r="E42" s="28"/>
      <c r="G42" s="29" t="str">
        <f t="shared" ca="1" si="9"/>
        <v/>
      </c>
      <c r="H42" s="29" t="str">
        <f t="shared" ca="1" si="10"/>
        <v/>
      </c>
      <c r="I42" s="29" t="str">
        <f t="shared" si="11"/>
        <v/>
      </c>
      <c r="J42" s="29" t="str">
        <f t="shared" si="12"/>
        <v/>
      </c>
    </row>
    <row r="43" spans="3:10" x14ac:dyDescent="0.25">
      <c r="C43" s="28"/>
      <c r="D43" s="28"/>
      <c r="E43" s="28"/>
      <c r="G43" s="29" t="str">
        <f t="shared" ca="1" si="9"/>
        <v/>
      </c>
      <c r="H43" s="29" t="str">
        <f t="shared" ca="1" si="10"/>
        <v/>
      </c>
      <c r="I43" s="29" t="str">
        <f t="shared" si="11"/>
        <v/>
      </c>
      <c r="J43" s="29" t="str">
        <f t="shared" si="12"/>
        <v/>
      </c>
    </row>
    <row r="44" spans="3:10" x14ac:dyDescent="0.25">
      <c r="C44" s="28"/>
      <c r="D44" s="28"/>
      <c r="E44" s="28"/>
      <c r="G44" s="29" t="str">
        <f t="shared" ca="1" si="9"/>
        <v/>
      </c>
      <c r="H44" s="29" t="str">
        <f t="shared" ca="1" si="10"/>
        <v/>
      </c>
      <c r="I44" s="29" t="str">
        <f t="shared" si="11"/>
        <v/>
      </c>
      <c r="J44" s="29" t="str">
        <f t="shared" si="12"/>
        <v/>
      </c>
    </row>
    <row r="45" spans="3:10" x14ac:dyDescent="0.25">
      <c r="C45" s="28"/>
      <c r="D45" s="28"/>
      <c r="E45" s="28"/>
      <c r="G45" s="29" t="str">
        <f t="shared" ca="1" si="9"/>
        <v/>
      </c>
      <c r="H45" s="29" t="str">
        <f t="shared" ca="1" si="10"/>
        <v/>
      </c>
      <c r="I45" s="29" t="str">
        <f t="shared" si="11"/>
        <v/>
      </c>
      <c r="J45" s="29" t="str">
        <f t="shared" si="12"/>
        <v/>
      </c>
    </row>
    <row r="46" spans="3:10" x14ac:dyDescent="0.25">
      <c r="C46" s="28"/>
      <c r="D46" s="28"/>
      <c r="E46" s="28"/>
      <c r="G46" s="29" t="str">
        <f t="shared" ca="1" si="9"/>
        <v/>
      </c>
      <c r="H46" s="29" t="str">
        <f t="shared" ca="1" si="10"/>
        <v/>
      </c>
      <c r="I46" s="29" t="str">
        <f t="shared" si="11"/>
        <v/>
      </c>
      <c r="J46" s="29" t="str">
        <f t="shared" si="12"/>
        <v/>
      </c>
    </row>
    <row r="47" spans="3:10" x14ac:dyDescent="0.25">
      <c r="C47" s="28"/>
      <c r="D47" s="28"/>
      <c r="E47" s="28"/>
      <c r="G47" s="29" t="str">
        <f t="shared" ca="1" si="9"/>
        <v/>
      </c>
      <c r="H47" s="29" t="str">
        <f t="shared" ca="1" si="10"/>
        <v/>
      </c>
      <c r="I47" s="29" t="str">
        <f t="shared" si="11"/>
        <v/>
      </c>
      <c r="J47" s="29" t="str">
        <f t="shared" si="12"/>
        <v/>
      </c>
    </row>
    <row r="48" spans="3:10" x14ac:dyDescent="0.25">
      <c r="C48" s="28"/>
      <c r="D48" s="28"/>
      <c r="E48" s="28"/>
      <c r="G48" s="29" t="str">
        <f t="shared" ca="1" si="9"/>
        <v/>
      </c>
      <c r="H48" s="29" t="str">
        <f t="shared" ca="1" si="10"/>
        <v/>
      </c>
      <c r="I48" s="29" t="str">
        <f t="shared" si="11"/>
        <v/>
      </c>
      <c r="J48" s="29" t="str">
        <f t="shared" si="12"/>
        <v/>
      </c>
    </row>
    <row r="49" spans="3:10" x14ac:dyDescent="0.25">
      <c r="C49" s="28"/>
      <c r="D49" s="28"/>
      <c r="E49" s="28"/>
      <c r="G49" s="29" t="str">
        <f t="shared" ca="1" si="9"/>
        <v/>
      </c>
      <c r="H49" s="29" t="str">
        <f t="shared" ca="1" si="10"/>
        <v/>
      </c>
      <c r="I49" s="29" t="str">
        <f t="shared" si="11"/>
        <v/>
      </c>
      <c r="J49" s="29" t="str">
        <f t="shared" si="12"/>
        <v/>
      </c>
    </row>
    <row r="50" spans="3:10" x14ac:dyDescent="0.25">
      <c r="C50" s="28"/>
      <c r="D50" s="28"/>
      <c r="E50" s="28"/>
      <c r="G50" s="29" t="str">
        <f t="shared" ca="1" si="9"/>
        <v/>
      </c>
      <c r="H50" s="29" t="str">
        <f t="shared" ca="1" si="10"/>
        <v/>
      </c>
      <c r="I50" s="29" t="str">
        <f t="shared" si="11"/>
        <v/>
      </c>
      <c r="J50" s="29" t="str">
        <f t="shared" si="12"/>
        <v/>
      </c>
    </row>
    <row r="51" spans="3:10" x14ac:dyDescent="0.25">
      <c r="C51" s="28"/>
      <c r="D51" s="28"/>
      <c r="E51" s="28"/>
      <c r="G51" s="29" t="str">
        <f t="shared" ca="1" si="9"/>
        <v/>
      </c>
      <c r="H51" s="29" t="str">
        <f t="shared" ca="1" si="10"/>
        <v/>
      </c>
      <c r="I51" s="29" t="str">
        <f t="shared" si="11"/>
        <v/>
      </c>
      <c r="J51" s="29" t="str">
        <f t="shared" si="12"/>
        <v/>
      </c>
    </row>
    <row r="52" spans="3:10" x14ac:dyDescent="0.25">
      <c r="C52" s="28"/>
      <c r="D52" s="28"/>
      <c r="E52" s="28"/>
      <c r="G52" s="29" t="str">
        <f t="shared" ca="1" si="9"/>
        <v/>
      </c>
      <c r="H52" s="29" t="str">
        <f t="shared" ca="1" si="10"/>
        <v/>
      </c>
      <c r="I52" s="29" t="str">
        <f t="shared" si="11"/>
        <v/>
      </c>
      <c r="J52" s="29" t="str">
        <f t="shared" si="12"/>
        <v/>
      </c>
    </row>
    <row r="53" spans="3:10" x14ac:dyDescent="0.25">
      <c r="C53" s="28"/>
      <c r="D53" s="28"/>
      <c r="E53" s="28"/>
      <c r="G53" s="29" t="str">
        <f t="shared" ca="1" si="9"/>
        <v/>
      </c>
      <c r="H53" s="29" t="str">
        <f t="shared" ca="1" si="10"/>
        <v/>
      </c>
      <c r="I53" s="29" t="str">
        <f t="shared" si="11"/>
        <v/>
      </c>
      <c r="J53" s="29" t="str">
        <f t="shared" si="12"/>
        <v/>
      </c>
    </row>
    <row r="54" spans="3:10" x14ac:dyDescent="0.25">
      <c r="C54" s="28"/>
      <c r="D54" s="28"/>
      <c r="E54" s="28"/>
      <c r="G54" s="29" t="str">
        <f t="shared" ca="1" si="9"/>
        <v/>
      </c>
      <c r="H54" s="29" t="str">
        <f t="shared" ca="1" si="10"/>
        <v/>
      </c>
      <c r="I54" s="29" t="str">
        <f t="shared" si="11"/>
        <v/>
      </c>
      <c r="J54" s="29" t="str">
        <f t="shared" si="12"/>
        <v/>
      </c>
    </row>
    <row r="55" spans="3:10" x14ac:dyDescent="0.25">
      <c r="C55" s="28"/>
      <c r="D55" s="28"/>
      <c r="E55" s="28"/>
      <c r="G55" s="29" t="str">
        <f t="shared" ca="1" si="9"/>
        <v/>
      </c>
      <c r="H55" s="29" t="str">
        <f t="shared" ca="1" si="10"/>
        <v/>
      </c>
      <c r="I55" s="29" t="str">
        <f t="shared" si="11"/>
        <v/>
      </c>
      <c r="J55" s="29" t="str">
        <f t="shared" si="12"/>
        <v/>
      </c>
    </row>
    <row r="56" spans="3:10" x14ac:dyDescent="0.25">
      <c r="C56" s="28"/>
      <c r="D56" s="28"/>
      <c r="E56" s="28"/>
      <c r="G56" s="29" t="str">
        <f t="shared" ca="1" si="9"/>
        <v/>
      </c>
      <c r="H56" s="29" t="str">
        <f t="shared" ca="1" si="10"/>
        <v/>
      </c>
      <c r="I56" s="29" t="str">
        <f t="shared" si="11"/>
        <v/>
      </c>
      <c r="J56" s="29" t="str">
        <f t="shared" si="12"/>
        <v/>
      </c>
    </row>
    <row r="57" spans="3:10" x14ac:dyDescent="0.25">
      <c r="C57" s="28"/>
      <c r="D57" s="28"/>
      <c r="E57" s="28"/>
      <c r="G57" s="29" t="str">
        <f t="shared" ca="1" si="9"/>
        <v/>
      </c>
      <c r="H57" s="29" t="str">
        <f t="shared" ca="1" si="10"/>
        <v/>
      </c>
      <c r="I57" s="29" t="str">
        <f t="shared" si="11"/>
        <v/>
      </c>
      <c r="J57" s="29" t="str">
        <f t="shared" si="12"/>
        <v/>
      </c>
    </row>
    <row r="58" spans="3:10" x14ac:dyDescent="0.25">
      <c r="C58" s="28"/>
      <c r="D58" s="28"/>
      <c r="E58" s="28"/>
      <c r="G58" s="29" t="str">
        <f t="shared" ca="1" si="9"/>
        <v/>
      </c>
      <c r="H58" s="29" t="str">
        <f t="shared" ca="1" si="10"/>
        <v/>
      </c>
      <c r="I58" s="29" t="str">
        <f t="shared" si="11"/>
        <v/>
      </c>
      <c r="J58" s="29" t="str">
        <f t="shared" si="12"/>
        <v/>
      </c>
    </row>
    <row r="59" spans="3:10" x14ac:dyDescent="0.25">
      <c r="C59" s="28"/>
      <c r="D59" s="28"/>
      <c r="E59" s="28"/>
      <c r="G59" s="29" t="str">
        <f t="shared" ca="1" si="9"/>
        <v/>
      </c>
      <c r="H59" s="29" t="str">
        <f t="shared" ca="1" si="10"/>
        <v/>
      </c>
      <c r="I59" s="29" t="str">
        <f t="shared" si="11"/>
        <v/>
      </c>
      <c r="J59" s="29" t="str">
        <f t="shared" si="12"/>
        <v/>
      </c>
    </row>
    <row r="60" spans="3:10" x14ac:dyDescent="0.25">
      <c r="C60" s="28"/>
      <c r="D60" s="28"/>
      <c r="E60" s="28"/>
      <c r="G60" s="29" t="str">
        <f t="shared" ca="1" si="9"/>
        <v/>
      </c>
      <c r="H60" s="29" t="str">
        <f t="shared" ca="1" si="10"/>
        <v/>
      </c>
      <c r="I60" s="29" t="str">
        <f t="shared" si="11"/>
        <v/>
      </c>
      <c r="J60" s="29" t="str">
        <f t="shared" si="12"/>
        <v/>
      </c>
    </row>
    <row r="61" spans="3:10" x14ac:dyDescent="0.25">
      <c r="C61" s="28"/>
      <c r="D61" s="28"/>
      <c r="E61" s="28"/>
      <c r="G61" s="29" t="str">
        <f t="shared" ca="1" si="9"/>
        <v/>
      </c>
      <c r="H61" s="29" t="str">
        <f t="shared" ca="1" si="10"/>
        <v/>
      </c>
      <c r="I61" s="29" t="str">
        <f t="shared" si="11"/>
        <v/>
      </c>
      <c r="J61" s="29" t="str">
        <f t="shared" si="12"/>
        <v/>
      </c>
    </row>
    <row r="62" spans="3:10" x14ac:dyDescent="0.25">
      <c r="C62" s="28"/>
      <c r="D62" s="28"/>
      <c r="E62" s="28"/>
      <c r="G62" s="29" t="str">
        <f t="shared" ca="1" si="9"/>
        <v/>
      </c>
      <c r="H62" s="29" t="str">
        <f t="shared" ca="1" si="10"/>
        <v/>
      </c>
      <c r="I62" s="29" t="str">
        <f t="shared" si="11"/>
        <v/>
      </c>
      <c r="J62" s="29" t="str">
        <f t="shared" si="12"/>
        <v/>
      </c>
    </row>
    <row r="63" spans="3:10" x14ac:dyDescent="0.25">
      <c r="C63" s="28"/>
      <c r="D63" s="28"/>
      <c r="E63" s="28"/>
      <c r="G63" s="29" t="str">
        <f t="shared" ca="1" si="9"/>
        <v/>
      </c>
      <c r="H63" s="29" t="str">
        <f t="shared" ca="1" si="10"/>
        <v/>
      </c>
      <c r="I63" s="29" t="str">
        <f t="shared" si="11"/>
        <v/>
      </c>
      <c r="J63" s="29" t="str">
        <f t="shared" si="12"/>
        <v/>
      </c>
    </row>
    <row r="64" spans="3:10" x14ac:dyDescent="0.25">
      <c r="C64" s="28"/>
      <c r="D64" s="28"/>
      <c r="E64" s="28"/>
      <c r="G64" s="29" t="str">
        <f t="shared" ca="1" si="9"/>
        <v/>
      </c>
      <c r="H64" s="29" t="str">
        <f t="shared" ca="1" si="10"/>
        <v/>
      </c>
      <c r="I64" s="29" t="str">
        <f t="shared" si="11"/>
        <v/>
      </c>
      <c r="J64" s="29" t="str">
        <f t="shared" si="12"/>
        <v/>
      </c>
    </row>
    <row r="65" spans="3:10" x14ac:dyDescent="0.25">
      <c r="C65" s="28"/>
      <c r="D65" s="28"/>
      <c r="E65" s="28"/>
      <c r="G65" s="29" t="str">
        <f t="shared" ca="1" si="9"/>
        <v/>
      </c>
      <c r="H65" s="29" t="str">
        <f t="shared" ca="1" si="10"/>
        <v/>
      </c>
      <c r="I65" s="29" t="str">
        <f t="shared" si="11"/>
        <v/>
      </c>
      <c r="J65" s="29" t="str">
        <f t="shared" si="12"/>
        <v/>
      </c>
    </row>
    <row r="66" spans="3:10" x14ac:dyDescent="0.25">
      <c r="C66" s="28"/>
      <c r="D66" s="28"/>
      <c r="E66" s="28"/>
      <c r="G66" s="29" t="str">
        <f t="shared" ca="1" si="9"/>
        <v/>
      </c>
      <c r="H66" s="29" t="str">
        <f t="shared" ca="1" si="10"/>
        <v/>
      </c>
      <c r="I66" s="29" t="str">
        <f t="shared" si="11"/>
        <v/>
      </c>
      <c r="J66" s="29" t="str">
        <f t="shared" si="12"/>
        <v/>
      </c>
    </row>
    <row r="67" spans="3:10" x14ac:dyDescent="0.25">
      <c r="C67" s="28"/>
      <c r="D67" s="28"/>
      <c r="E67" s="28"/>
      <c r="G67" s="29" t="str">
        <f t="shared" ca="1" si="9"/>
        <v/>
      </c>
      <c r="H67" s="29" t="str">
        <f t="shared" ca="1" si="10"/>
        <v/>
      </c>
      <c r="I67" s="29" t="str">
        <f t="shared" si="11"/>
        <v/>
      </c>
      <c r="J67" s="29" t="str">
        <f t="shared" si="12"/>
        <v/>
      </c>
    </row>
    <row r="68" spans="3:10" x14ac:dyDescent="0.25">
      <c r="C68" s="28"/>
      <c r="D68" s="28"/>
      <c r="E68" s="28"/>
      <c r="G68" s="29" t="str">
        <f t="shared" ca="1" si="9"/>
        <v/>
      </c>
      <c r="H68" s="29" t="str">
        <f t="shared" ca="1" si="10"/>
        <v/>
      </c>
      <c r="I68" s="29" t="str">
        <f t="shared" si="11"/>
        <v/>
      </c>
      <c r="J68" s="29" t="str">
        <f t="shared" si="12"/>
        <v/>
      </c>
    </row>
    <row r="69" spans="3:10" x14ac:dyDescent="0.25">
      <c r="C69" s="28"/>
      <c r="D69" s="28"/>
      <c r="E69" s="28"/>
      <c r="G69" s="29" t="str">
        <f t="shared" ca="1" si="9"/>
        <v/>
      </c>
      <c r="H69" s="29" t="str">
        <f t="shared" ca="1" si="10"/>
        <v/>
      </c>
      <c r="I69" s="29" t="str">
        <f t="shared" si="11"/>
        <v/>
      </c>
      <c r="J69" s="29" t="str">
        <f t="shared" si="12"/>
        <v/>
      </c>
    </row>
    <row r="70" spans="3:10" x14ac:dyDescent="0.25">
      <c r="C70" s="28"/>
      <c r="D70" s="28"/>
      <c r="E70" s="28"/>
      <c r="G70" s="29" t="str">
        <f t="shared" ca="1" si="9"/>
        <v/>
      </c>
      <c r="H70" s="29" t="str">
        <f t="shared" ca="1" si="10"/>
        <v/>
      </c>
      <c r="I70" s="29" t="str">
        <f t="shared" si="11"/>
        <v/>
      </c>
      <c r="J70" s="29" t="str">
        <f t="shared" si="12"/>
        <v/>
      </c>
    </row>
    <row r="71" spans="3:10" x14ac:dyDescent="0.25">
      <c r="C71" s="28"/>
      <c r="D71" s="28"/>
      <c r="E71" s="28"/>
      <c r="G71" s="29" t="str">
        <f t="shared" ca="1" si="9"/>
        <v/>
      </c>
      <c r="H71" s="29" t="str">
        <f t="shared" ca="1" si="10"/>
        <v/>
      </c>
      <c r="I71" s="29" t="str">
        <f t="shared" si="11"/>
        <v/>
      </c>
      <c r="J71" s="29" t="str">
        <f t="shared" si="12"/>
        <v/>
      </c>
    </row>
    <row r="72" spans="3:10" x14ac:dyDescent="0.25">
      <c r="C72" s="28"/>
      <c r="D72" s="28"/>
      <c r="E72" s="28"/>
      <c r="G72" s="29" t="str">
        <f t="shared" ca="1" si="9"/>
        <v/>
      </c>
      <c r="H72" s="29" t="str">
        <f t="shared" ca="1" si="10"/>
        <v/>
      </c>
      <c r="I72" s="29" t="str">
        <f t="shared" si="11"/>
        <v/>
      </c>
      <c r="J72" s="29" t="str">
        <f t="shared" si="12"/>
        <v/>
      </c>
    </row>
    <row r="73" spans="3:10" x14ac:dyDescent="0.25">
      <c r="C73" s="28"/>
      <c r="D73" s="28"/>
      <c r="E73" s="28"/>
      <c r="G73" s="29" t="str">
        <f t="shared" ca="1" si="9"/>
        <v/>
      </c>
      <c r="H73" s="29" t="str">
        <f t="shared" ca="1" si="10"/>
        <v/>
      </c>
      <c r="I73" s="29" t="str">
        <f t="shared" si="11"/>
        <v/>
      </c>
      <c r="J73" s="29" t="str">
        <f t="shared" si="12"/>
        <v/>
      </c>
    </row>
    <row r="74" spans="3:10" x14ac:dyDescent="0.25">
      <c r="C74" s="28"/>
      <c r="D74" s="28"/>
      <c r="E74" s="28"/>
      <c r="G74" s="29" t="str">
        <f t="shared" ca="1" si="9"/>
        <v/>
      </c>
      <c r="H74" s="29" t="str">
        <f t="shared" ca="1" si="10"/>
        <v/>
      </c>
      <c r="I74" s="29" t="str">
        <f t="shared" si="11"/>
        <v/>
      </c>
      <c r="J74" s="29" t="str">
        <f t="shared" si="12"/>
        <v/>
      </c>
    </row>
    <row r="75" spans="3:10" x14ac:dyDescent="0.25">
      <c r="C75" s="28"/>
      <c r="D75" s="28"/>
      <c r="E75" s="28"/>
      <c r="G75" s="29" t="str">
        <f t="shared" ca="1" si="9"/>
        <v/>
      </c>
      <c r="H75" s="29" t="str">
        <f t="shared" ca="1" si="10"/>
        <v/>
      </c>
      <c r="I75" s="29" t="str">
        <f t="shared" si="11"/>
        <v/>
      </c>
      <c r="J75" s="29" t="str">
        <f t="shared" si="12"/>
        <v/>
      </c>
    </row>
    <row r="76" spans="3:10" x14ac:dyDescent="0.25">
      <c r="C76" s="28"/>
      <c r="D76" s="28"/>
      <c r="E76" s="28"/>
      <c r="G76" s="29" t="str">
        <f t="shared" ca="1" si="9"/>
        <v/>
      </c>
      <c r="H76" s="29" t="str">
        <f t="shared" ca="1" si="10"/>
        <v/>
      </c>
      <c r="I76" s="29" t="str">
        <f t="shared" si="11"/>
        <v/>
      </c>
      <c r="J76" s="29" t="str">
        <f t="shared" si="12"/>
        <v/>
      </c>
    </row>
    <row r="77" spans="3:10" x14ac:dyDescent="0.25">
      <c r="C77" s="28"/>
      <c r="D77" s="28"/>
      <c r="E77" s="28"/>
      <c r="G77" s="29" t="str">
        <f t="shared" ca="1" si="9"/>
        <v/>
      </c>
      <c r="H77" s="29" t="str">
        <f t="shared" ca="1" si="10"/>
        <v/>
      </c>
      <c r="I77" s="29" t="str">
        <f t="shared" si="11"/>
        <v/>
      </c>
      <c r="J77" s="29" t="str">
        <f t="shared" si="12"/>
        <v/>
      </c>
    </row>
    <row r="78" spans="3:10" x14ac:dyDescent="0.25">
      <c r="C78" s="28"/>
      <c r="D78" s="28"/>
      <c r="E78" s="28"/>
      <c r="G78" s="29" t="str">
        <f t="shared" ca="1" si="9"/>
        <v/>
      </c>
      <c r="H78" s="29" t="str">
        <f t="shared" ca="1" si="10"/>
        <v/>
      </c>
      <c r="I78" s="29" t="str">
        <f t="shared" si="11"/>
        <v/>
      </c>
      <c r="J78" s="29" t="str">
        <f t="shared" si="12"/>
        <v/>
      </c>
    </row>
    <row r="79" spans="3:10" x14ac:dyDescent="0.25">
      <c r="C79" s="28"/>
      <c r="D79" s="28"/>
      <c r="E79" s="28"/>
      <c r="G79" s="29" t="str">
        <f t="shared" ca="1" si="9"/>
        <v/>
      </c>
      <c r="H79" s="29" t="str">
        <f t="shared" ca="1" si="10"/>
        <v/>
      </c>
      <c r="I79" s="29" t="str">
        <f t="shared" si="11"/>
        <v/>
      </c>
      <c r="J79" s="29" t="str">
        <f t="shared" si="12"/>
        <v/>
      </c>
    </row>
    <row r="80" spans="3:10" x14ac:dyDescent="0.25">
      <c r="C80" s="28"/>
      <c r="D80" s="28"/>
      <c r="E80" s="28"/>
      <c r="G80" s="29" t="str">
        <f t="shared" ca="1" si="9"/>
        <v/>
      </c>
      <c r="H80" s="29" t="str">
        <f t="shared" ca="1" si="10"/>
        <v/>
      </c>
      <c r="I80" s="29" t="str">
        <f t="shared" si="11"/>
        <v/>
      </c>
      <c r="J80" s="29" t="str">
        <f t="shared" si="12"/>
        <v/>
      </c>
    </row>
    <row r="81" spans="3:10" x14ac:dyDescent="0.25">
      <c r="C81" s="28"/>
      <c r="D81" s="28"/>
      <c r="E81" s="28"/>
      <c r="G81" s="29" t="str">
        <f t="shared" ca="1" si="9"/>
        <v/>
      </c>
      <c r="H81" s="29" t="str">
        <f t="shared" ca="1" si="10"/>
        <v/>
      </c>
      <c r="I81" s="29" t="str">
        <f t="shared" si="11"/>
        <v/>
      </c>
      <c r="J81" s="29" t="str">
        <f t="shared" si="12"/>
        <v/>
      </c>
    </row>
    <row r="82" spans="3:10" x14ac:dyDescent="0.25">
      <c r="C82" s="28"/>
      <c r="D82" s="28"/>
      <c r="E82" s="28"/>
      <c r="G82" s="29" t="str">
        <f t="shared" ca="1" si="9"/>
        <v/>
      </c>
      <c r="H82" s="29" t="str">
        <f t="shared" ca="1" si="10"/>
        <v/>
      </c>
      <c r="I82" s="29" t="str">
        <f t="shared" si="11"/>
        <v/>
      </c>
      <c r="J82" s="29" t="str">
        <f t="shared" si="12"/>
        <v/>
      </c>
    </row>
    <row r="83" spans="3:10" x14ac:dyDescent="0.25">
      <c r="C83" s="28"/>
      <c r="D83" s="28"/>
      <c r="E83" s="28"/>
      <c r="G83" s="29" t="str">
        <f t="shared" ca="1" si="9"/>
        <v/>
      </c>
      <c r="H83" s="29" t="str">
        <f t="shared" ca="1" si="10"/>
        <v/>
      </c>
      <c r="I83" s="29" t="str">
        <f t="shared" si="11"/>
        <v/>
      </c>
      <c r="J83" s="29" t="str">
        <f t="shared" si="12"/>
        <v/>
      </c>
    </row>
    <row r="84" spans="3:10" x14ac:dyDescent="0.25">
      <c r="C84" s="28"/>
      <c r="D84" s="28"/>
      <c r="E84" s="28"/>
      <c r="G84" s="29" t="str">
        <f t="shared" ca="1" si="9"/>
        <v/>
      </c>
      <c r="H84" s="29" t="str">
        <f t="shared" ca="1" si="10"/>
        <v/>
      </c>
      <c r="I84" s="29" t="str">
        <f t="shared" si="11"/>
        <v/>
      </c>
      <c r="J84" s="29" t="str">
        <f t="shared" si="12"/>
        <v/>
      </c>
    </row>
    <row r="85" spans="3:10" x14ac:dyDescent="0.25">
      <c r="C85" s="28"/>
      <c r="D85" s="28"/>
      <c r="E85" s="28"/>
      <c r="G85" s="29" t="str">
        <f t="shared" ca="1" si="9"/>
        <v/>
      </c>
      <c r="H85" s="29" t="str">
        <f t="shared" ca="1" si="10"/>
        <v/>
      </c>
      <c r="I85" s="29" t="str">
        <f t="shared" si="11"/>
        <v/>
      </c>
      <c r="J85" s="29" t="str">
        <f t="shared" si="12"/>
        <v/>
      </c>
    </row>
    <row r="86" spans="3:10" x14ac:dyDescent="0.25">
      <c r="C86" s="28"/>
      <c r="D86" s="28"/>
      <c r="E86" s="28"/>
      <c r="G86" s="29" t="str">
        <f t="shared" ca="1" si="9"/>
        <v/>
      </c>
      <c r="H86" s="29" t="str">
        <f t="shared" ca="1" si="10"/>
        <v/>
      </c>
      <c r="I86" s="29" t="str">
        <f t="shared" si="11"/>
        <v/>
      </c>
      <c r="J86" s="29" t="str">
        <f t="shared" si="12"/>
        <v/>
      </c>
    </row>
    <row r="87" spans="3:10" x14ac:dyDescent="0.25">
      <c r="C87" s="28"/>
      <c r="D87" s="28"/>
      <c r="E87" s="28"/>
      <c r="G87" s="29" t="str">
        <f t="shared" ca="1" si="9"/>
        <v/>
      </c>
      <c r="H87" s="29" t="str">
        <f t="shared" ca="1" si="10"/>
        <v/>
      </c>
      <c r="I87" s="29" t="str">
        <f t="shared" si="11"/>
        <v/>
      </c>
      <c r="J87" s="29" t="str">
        <f t="shared" si="12"/>
        <v/>
      </c>
    </row>
    <row r="88" spans="3:10" x14ac:dyDescent="0.25">
      <c r="C88" s="28"/>
      <c r="D88" s="28"/>
      <c r="E88" s="28"/>
      <c r="G88" s="29" t="str">
        <f t="shared" ca="1" si="9"/>
        <v/>
      </c>
      <c r="H88" s="29" t="str">
        <f t="shared" ca="1" si="10"/>
        <v/>
      </c>
      <c r="I88" s="29" t="str">
        <f t="shared" si="11"/>
        <v/>
      </c>
      <c r="J88" s="29" t="str">
        <f t="shared" si="12"/>
        <v/>
      </c>
    </row>
    <row r="89" spans="3:10" x14ac:dyDescent="0.25">
      <c r="C89" s="28"/>
      <c r="D89" s="28"/>
      <c r="E89" s="28"/>
      <c r="G89" s="29" t="str">
        <f t="shared" ca="1" si="9"/>
        <v/>
      </c>
      <c r="H89" s="29" t="str">
        <f t="shared" ca="1" si="10"/>
        <v/>
      </c>
      <c r="I89" s="29" t="str">
        <f t="shared" si="11"/>
        <v/>
      </c>
      <c r="J89" s="29" t="str">
        <f t="shared" si="12"/>
        <v/>
      </c>
    </row>
    <row r="90" spans="3:10" x14ac:dyDescent="0.25">
      <c r="C90" s="28"/>
      <c r="D90" s="28"/>
      <c r="E90" s="28"/>
      <c r="G90" s="29" t="str">
        <f t="shared" ca="1" si="9"/>
        <v/>
      </c>
      <c r="H90" s="29" t="str">
        <f t="shared" ca="1" si="10"/>
        <v/>
      </c>
      <c r="I90" s="29" t="str">
        <f t="shared" si="11"/>
        <v/>
      </c>
      <c r="J90" s="29" t="str">
        <f t="shared" si="12"/>
        <v/>
      </c>
    </row>
    <row r="91" spans="3:10" x14ac:dyDescent="0.25">
      <c r="C91" s="28"/>
      <c r="D91" s="28"/>
      <c r="E91" s="28"/>
      <c r="G91" s="29" t="str">
        <f t="shared" ca="1" si="9"/>
        <v/>
      </c>
      <c r="H91" s="29" t="str">
        <f t="shared" ca="1" si="10"/>
        <v/>
      </c>
      <c r="I91" s="29" t="str">
        <f t="shared" si="11"/>
        <v/>
      </c>
      <c r="J91" s="29" t="str">
        <f t="shared" si="12"/>
        <v/>
      </c>
    </row>
    <row r="92" spans="3:10" x14ac:dyDescent="0.25">
      <c r="C92" s="28"/>
      <c r="D92" s="28"/>
      <c r="E92" s="28"/>
      <c r="G92" s="29" t="str">
        <f t="shared" ca="1" si="9"/>
        <v/>
      </c>
      <c r="H92" s="29" t="str">
        <f t="shared" ca="1" si="10"/>
        <v/>
      </c>
      <c r="I92" s="29" t="str">
        <f t="shared" si="11"/>
        <v/>
      </c>
      <c r="J92" s="29" t="str">
        <f t="shared" si="12"/>
        <v/>
      </c>
    </row>
    <row r="93" spans="3:10" x14ac:dyDescent="0.25">
      <c r="C93" s="28"/>
      <c r="D93" s="28"/>
      <c r="E93" s="28"/>
      <c r="G93" s="29" t="str">
        <f t="shared" ca="1" si="9"/>
        <v/>
      </c>
      <c r="H93" s="29" t="str">
        <f t="shared" ca="1" si="10"/>
        <v/>
      </c>
      <c r="I93" s="29" t="str">
        <f t="shared" si="11"/>
        <v/>
      </c>
      <c r="J93" s="29" t="str">
        <f t="shared" si="12"/>
        <v/>
      </c>
    </row>
    <row r="94" spans="3:10" x14ac:dyDescent="0.25">
      <c r="C94" s="28"/>
      <c r="D94" s="28"/>
      <c r="E94" s="28"/>
      <c r="G94" s="29" t="str">
        <f t="shared" ca="1" si="9"/>
        <v/>
      </c>
      <c r="H94" s="29" t="str">
        <f t="shared" ca="1" si="10"/>
        <v/>
      </c>
      <c r="I94" s="29" t="str">
        <f t="shared" si="11"/>
        <v/>
      </c>
      <c r="J94" s="29" t="str">
        <f t="shared" si="12"/>
        <v/>
      </c>
    </row>
    <row r="95" spans="3:10" x14ac:dyDescent="0.25">
      <c r="C95" s="28"/>
      <c r="D95" s="28"/>
      <c r="E95" s="28"/>
      <c r="G95" s="29" t="str">
        <f t="shared" ca="1" si="9"/>
        <v/>
      </c>
      <c r="H95" s="29" t="str">
        <f t="shared" ca="1" si="10"/>
        <v/>
      </c>
      <c r="I95" s="29" t="str">
        <f t="shared" si="11"/>
        <v/>
      </c>
      <c r="J95" s="29" t="str">
        <f t="shared" si="12"/>
        <v/>
      </c>
    </row>
    <row r="96" spans="3:10" x14ac:dyDescent="0.25">
      <c r="C96" s="28"/>
      <c r="D96" s="28"/>
      <c r="E96" s="28"/>
      <c r="G96" s="29" t="str">
        <f t="shared" ca="1" si="9"/>
        <v/>
      </c>
      <c r="H96" s="29" t="str">
        <f t="shared" ca="1" si="10"/>
        <v/>
      </c>
      <c r="I96" s="29" t="str">
        <f t="shared" si="11"/>
        <v/>
      </c>
      <c r="J96" s="29" t="str">
        <f t="shared" si="12"/>
        <v/>
      </c>
    </row>
    <row r="97" spans="3:10" x14ac:dyDescent="0.25">
      <c r="C97" s="28"/>
      <c r="D97" s="28"/>
      <c r="E97" s="28"/>
      <c r="G97" s="29" t="str">
        <f t="shared" ca="1" si="9"/>
        <v/>
      </c>
      <c r="H97" s="29" t="str">
        <f t="shared" ca="1" si="10"/>
        <v/>
      </c>
      <c r="I97" s="29" t="str">
        <f t="shared" si="11"/>
        <v/>
      </c>
      <c r="J97" s="29" t="str">
        <f t="shared" si="12"/>
        <v/>
      </c>
    </row>
    <row r="98" spans="3:10" x14ac:dyDescent="0.25">
      <c r="C98" s="28"/>
      <c r="D98" s="28"/>
      <c r="E98" s="28"/>
      <c r="G98" s="29" t="str">
        <f t="shared" ca="1" si="9"/>
        <v/>
      </c>
      <c r="H98" s="29" t="str">
        <f t="shared" ca="1" si="10"/>
        <v/>
      </c>
      <c r="I98" s="29" t="str">
        <f t="shared" si="11"/>
        <v/>
      </c>
      <c r="J98" s="29" t="str">
        <f t="shared" si="12"/>
        <v/>
      </c>
    </row>
    <row r="99" spans="3:10" x14ac:dyDescent="0.25">
      <c r="C99" s="28"/>
      <c r="D99" s="28"/>
      <c r="E99" s="28"/>
      <c r="G99" s="29" t="str">
        <f t="shared" ca="1" si="9"/>
        <v/>
      </c>
      <c r="H99" s="29" t="str">
        <f t="shared" ca="1" si="10"/>
        <v/>
      </c>
      <c r="I99" s="29" t="str">
        <f t="shared" si="11"/>
        <v/>
      </c>
      <c r="J99" s="29" t="str">
        <f t="shared" si="12"/>
        <v/>
      </c>
    </row>
    <row r="100" spans="3:10" x14ac:dyDescent="0.25">
      <c r="C100" s="28"/>
      <c r="D100" s="28"/>
      <c r="E100" s="28"/>
      <c r="G100" s="29" t="str">
        <f t="shared" ca="1" si="9"/>
        <v/>
      </c>
      <c r="H100" s="29" t="str">
        <f t="shared" ca="1" si="10"/>
        <v/>
      </c>
      <c r="I100" s="29" t="str">
        <f t="shared" si="11"/>
        <v/>
      </c>
      <c r="J100" s="29" t="str">
        <f t="shared" si="12"/>
        <v/>
      </c>
    </row>
    <row r="101" spans="3:10" x14ac:dyDescent="0.25">
      <c r="C101" s="28"/>
      <c r="D101" s="28"/>
      <c r="E101" s="28"/>
      <c r="G101" s="29" t="str">
        <f t="shared" ca="1" si="9"/>
        <v/>
      </c>
      <c r="H101" s="29" t="str">
        <f t="shared" ca="1" si="10"/>
        <v/>
      </c>
      <c r="I101" s="29" t="str">
        <f t="shared" si="11"/>
        <v/>
      </c>
      <c r="J101" s="29" t="str">
        <f t="shared" si="12"/>
        <v/>
      </c>
    </row>
    <row r="102" spans="3:10" x14ac:dyDescent="0.25">
      <c r="C102" s="28"/>
      <c r="D102" s="28"/>
      <c r="E102" s="28"/>
      <c r="G102" s="29" t="str">
        <f t="shared" ref="G102:G165" ca="1" si="13">IF(C102="","",IF(F102="Recebido",E102-C102,TODAY()-C102))</f>
        <v/>
      </c>
      <c r="H102" s="29" t="str">
        <f t="shared" ref="H102:H165" ca="1" si="14">IF(D102="","",IF(F102="Recebido",E102-D102,TODAY()-D102))</f>
        <v/>
      </c>
      <c r="I102" s="29" t="str">
        <f t="shared" ref="I102:I165" si="15">IF(OR(C102="",D102=""),"",D102-C102)</f>
        <v/>
      </c>
      <c r="J102" s="29" t="str">
        <f t="shared" ref="J102:J165" si="16">IF(OR(D102="",E102=""),"",E102-D102)</f>
        <v/>
      </c>
    </row>
    <row r="103" spans="3:10" x14ac:dyDescent="0.25">
      <c r="C103" s="28"/>
      <c r="D103" s="28"/>
      <c r="E103" s="28"/>
      <c r="G103" s="29" t="str">
        <f t="shared" ca="1" si="13"/>
        <v/>
      </c>
      <c r="H103" s="29" t="str">
        <f t="shared" ca="1" si="14"/>
        <v/>
      </c>
      <c r="I103" s="29" t="str">
        <f t="shared" si="15"/>
        <v/>
      </c>
      <c r="J103" s="29" t="str">
        <f t="shared" si="16"/>
        <v/>
      </c>
    </row>
    <row r="104" spans="3:10" x14ac:dyDescent="0.25">
      <c r="C104" s="28"/>
      <c r="D104" s="28"/>
      <c r="E104" s="28"/>
      <c r="G104" s="29" t="str">
        <f t="shared" ca="1" si="13"/>
        <v/>
      </c>
      <c r="H104" s="29" t="str">
        <f t="shared" ca="1" si="14"/>
        <v/>
      </c>
      <c r="I104" s="29" t="str">
        <f t="shared" si="15"/>
        <v/>
      </c>
      <c r="J104" s="29" t="str">
        <f t="shared" si="16"/>
        <v/>
      </c>
    </row>
    <row r="105" spans="3:10" x14ac:dyDescent="0.25">
      <c r="C105" s="28"/>
      <c r="D105" s="28"/>
      <c r="E105" s="28"/>
      <c r="G105" s="29" t="str">
        <f t="shared" ca="1" si="13"/>
        <v/>
      </c>
      <c r="H105" s="29" t="str">
        <f t="shared" ca="1" si="14"/>
        <v/>
      </c>
      <c r="I105" s="29" t="str">
        <f t="shared" si="15"/>
        <v/>
      </c>
      <c r="J105" s="29" t="str">
        <f t="shared" si="16"/>
        <v/>
      </c>
    </row>
    <row r="106" spans="3:10" x14ac:dyDescent="0.25">
      <c r="C106" s="28"/>
      <c r="D106" s="28"/>
      <c r="E106" s="28"/>
      <c r="G106" s="29" t="str">
        <f t="shared" ca="1" si="13"/>
        <v/>
      </c>
      <c r="H106" s="29" t="str">
        <f t="shared" ca="1" si="14"/>
        <v/>
      </c>
      <c r="I106" s="29" t="str">
        <f t="shared" si="15"/>
        <v/>
      </c>
      <c r="J106" s="29" t="str">
        <f t="shared" si="16"/>
        <v/>
      </c>
    </row>
    <row r="107" spans="3:10" x14ac:dyDescent="0.25">
      <c r="C107" s="28"/>
      <c r="D107" s="28"/>
      <c r="E107" s="28"/>
      <c r="G107" s="29" t="str">
        <f t="shared" ca="1" si="13"/>
        <v/>
      </c>
      <c r="H107" s="29" t="str">
        <f t="shared" ca="1" si="14"/>
        <v/>
      </c>
      <c r="I107" s="29" t="str">
        <f t="shared" si="15"/>
        <v/>
      </c>
      <c r="J107" s="29" t="str">
        <f t="shared" si="16"/>
        <v/>
      </c>
    </row>
    <row r="108" spans="3:10" x14ac:dyDescent="0.25">
      <c r="C108" s="28"/>
      <c r="D108" s="28"/>
      <c r="E108" s="28"/>
      <c r="G108" s="29" t="str">
        <f t="shared" ca="1" si="13"/>
        <v/>
      </c>
      <c r="H108" s="29" t="str">
        <f t="shared" ca="1" si="14"/>
        <v/>
      </c>
      <c r="I108" s="29" t="str">
        <f t="shared" si="15"/>
        <v/>
      </c>
      <c r="J108" s="29" t="str">
        <f t="shared" si="16"/>
        <v/>
      </c>
    </row>
    <row r="109" spans="3:10" x14ac:dyDescent="0.25">
      <c r="C109" s="28"/>
      <c r="D109" s="28"/>
      <c r="E109" s="28"/>
      <c r="G109" s="29" t="str">
        <f t="shared" ca="1" si="13"/>
        <v/>
      </c>
      <c r="H109" s="29" t="str">
        <f t="shared" ca="1" si="14"/>
        <v/>
      </c>
      <c r="I109" s="29" t="str">
        <f t="shared" si="15"/>
        <v/>
      </c>
      <c r="J109" s="29" t="str">
        <f t="shared" si="16"/>
        <v/>
      </c>
    </row>
    <row r="110" spans="3:10" x14ac:dyDescent="0.25">
      <c r="C110" s="28"/>
      <c r="D110" s="28"/>
      <c r="E110" s="28"/>
      <c r="G110" s="29" t="str">
        <f t="shared" ca="1" si="13"/>
        <v/>
      </c>
      <c r="H110" s="29" t="str">
        <f t="shared" ca="1" si="14"/>
        <v/>
      </c>
      <c r="I110" s="29" t="str">
        <f t="shared" si="15"/>
        <v/>
      </c>
      <c r="J110" s="29" t="str">
        <f t="shared" si="16"/>
        <v/>
      </c>
    </row>
    <row r="111" spans="3:10" x14ac:dyDescent="0.25">
      <c r="C111" s="28"/>
      <c r="D111" s="28"/>
      <c r="E111" s="28"/>
      <c r="G111" s="29" t="str">
        <f t="shared" ca="1" si="13"/>
        <v/>
      </c>
      <c r="H111" s="29" t="str">
        <f t="shared" ca="1" si="14"/>
        <v/>
      </c>
      <c r="I111" s="29" t="str">
        <f t="shared" si="15"/>
        <v/>
      </c>
      <c r="J111" s="29" t="str">
        <f t="shared" si="16"/>
        <v/>
      </c>
    </row>
    <row r="112" spans="3:10" x14ac:dyDescent="0.25">
      <c r="C112" s="28"/>
      <c r="D112" s="28"/>
      <c r="E112" s="28"/>
      <c r="G112" s="29" t="str">
        <f t="shared" ca="1" si="13"/>
        <v/>
      </c>
      <c r="H112" s="29" t="str">
        <f t="shared" ca="1" si="14"/>
        <v/>
      </c>
      <c r="I112" s="29" t="str">
        <f t="shared" si="15"/>
        <v/>
      </c>
      <c r="J112" s="29" t="str">
        <f t="shared" si="16"/>
        <v/>
      </c>
    </row>
    <row r="113" spans="3:10" x14ac:dyDescent="0.25">
      <c r="C113" s="28"/>
      <c r="D113" s="28"/>
      <c r="E113" s="28"/>
      <c r="G113" s="29" t="str">
        <f t="shared" ca="1" si="13"/>
        <v/>
      </c>
      <c r="H113" s="29" t="str">
        <f t="shared" ca="1" si="14"/>
        <v/>
      </c>
      <c r="I113" s="29" t="str">
        <f t="shared" si="15"/>
        <v/>
      </c>
      <c r="J113" s="29" t="str">
        <f t="shared" si="16"/>
        <v/>
      </c>
    </row>
    <row r="114" spans="3:10" x14ac:dyDescent="0.25">
      <c r="C114" s="28"/>
      <c r="D114" s="28"/>
      <c r="E114" s="28"/>
      <c r="G114" s="29" t="str">
        <f t="shared" ca="1" si="13"/>
        <v/>
      </c>
      <c r="H114" s="29" t="str">
        <f t="shared" ca="1" si="14"/>
        <v/>
      </c>
      <c r="I114" s="29" t="str">
        <f t="shared" si="15"/>
        <v/>
      </c>
      <c r="J114" s="29" t="str">
        <f t="shared" si="16"/>
        <v/>
      </c>
    </row>
    <row r="115" spans="3:10" x14ac:dyDescent="0.25">
      <c r="C115" s="28"/>
      <c r="D115" s="28"/>
      <c r="E115" s="28"/>
      <c r="G115" s="29" t="str">
        <f t="shared" ca="1" si="13"/>
        <v/>
      </c>
      <c r="H115" s="29" t="str">
        <f t="shared" ca="1" si="14"/>
        <v/>
      </c>
      <c r="I115" s="29" t="str">
        <f t="shared" si="15"/>
        <v/>
      </c>
      <c r="J115" s="29" t="str">
        <f t="shared" si="16"/>
        <v/>
      </c>
    </row>
    <row r="116" spans="3:10" x14ac:dyDescent="0.25">
      <c r="C116" s="28"/>
      <c r="D116" s="28"/>
      <c r="E116" s="28"/>
      <c r="G116" s="29" t="str">
        <f t="shared" ca="1" si="13"/>
        <v/>
      </c>
      <c r="H116" s="29" t="str">
        <f t="shared" ca="1" si="14"/>
        <v/>
      </c>
      <c r="I116" s="29" t="str">
        <f t="shared" si="15"/>
        <v/>
      </c>
      <c r="J116" s="29" t="str">
        <f t="shared" si="16"/>
        <v/>
      </c>
    </row>
    <row r="117" spans="3:10" x14ac:dyDescent="0.25">
      <c r="C117" s="28"/>
      <c r="D117" s="28"/>
      <c r="E117" s="28"/>
      <c r="G117" s="29" t="str">
        <f t="shared" ca="1" si="13"/>
        <v/>
      </c>
      <c r="H117" s="29" t="str">
        <f t="shared" ca="1" si="14"/>
        <v/>
      </c>
      <c r="I117" s="29" t="str">
        <f t="shared" si="15"/>
        <v/>
      </c>
      <c r="J117" s="29" t="str">
        <f t="shared" si="16"/>
        <v/>
      </c>
    </row>
    <row r="118" spans="3:10" x14ac:dyDescent="0.25">
      <c r="C118" s="28"/>
      <c r="D118" s="28"/>
      <c r="E118" s="28"/>
      <c r="G118" s="29" t="str">
        <f t="shared" ca="1" si="13"/>
        <v/>
      </c>
      <c r="H118" s="29" t="str">
        <f t="shared" ca="1" si="14"/>
        <v/>
      </c>
      <c r="I118" s="29" t="str">
        <f t="shared" si="15"/>
        <v/>
      </c>
      <c r="J118" s="29" t="str">
        <f t="shared" si="16"/>
        <v/>
      </c>
    </row>
    <row r="119" spans="3:10" x14ac:dyDescent="0.25">
      <c r="C119" s="28"/>
      <c r="D119" s="28"/>
      <c r="E119" s="28"/>
      <c r="G119" s="29" t="str">
        <f t="shared" ca="1" si="13"/>
        <v/>
      </c>
      <c r="H119" s="29" t="str">
        <f t="shared" ca="1" si="14"/>
        <v/>
      </c>
      <c r="I119" s="29" t="str">
        <f t="shared" si="15"/>
        <v/>
      </c>
      <c r="J119" s="29" t="str">
        <f t="shared" si="16"/>
        <v/>
      </c>
    </row>
    <row r="120" spans="3:10" x14ac:dyDescent="0.25">
      <c r="C120" s="28"/>
      <c r="D120" s="28"/>
      <c r="E120" s="28"/>
      <c r="G120" s="29" t="str">
        <f t="shared" ca="1" si="13"/>
        <v/>
      </c>
      <c r="H120" s="29" t="str">
        <f t="shared" ca="1" si="14"/>
        <v/>
      </c>
      <c r="I120" s="29" t="str">
        <f t="shared" si="15"/>
        <v/>
      </c>
      <c r="J120" s="29" t="str">
        <f t="shared" si="16"/>
        <v/>
      </c>
    </row>
    <row r="121" spans="3:10" x14ac:dyDescent="0.25">
      <c r="C121" s="28"/>
      <c r="D121" s="28"/>
      <c r="E121" s="28"/>
      <c r="G121" s="29" t="str">
        <f t="shared" ca="1" si="13"/>
        <v/>
      </c>
      <c r="H121" s="29" t="str">
        <f t="shared" ca="1" si="14"/>
        <v/>
      </c>
      <c r="I121" s="29" t="str">
        <f t="shared" si="15"/>
        <v/>
      </c>
      <c r="J121" s="29" t="str">
        <f t="shared" si="16"/>
        <v/>
      </c>
    </row>
    <row r="122" spans="3:10" x14ac:dyDescent="0.25">
      <c r="C122" s="28"/>
      <c r="D122" s="28"/>
      <c r="E122" s="28"/>
      <c r="G122" s="29" t="str">
        <f t="shared" ca="1" si="13"/>
        <v/>
      </c>
      <c r="H122" s="29" t="str">
        <f t="shared" ca="1" si="14"/>
        <v/>
      </c>
      <c r="I122" s="29" t="str">
        <f t="shared" si="15"/>
        <v/>
      </c>
      <c r="J122" s="29" t="str">
        <f t="shared" si="16"/>
        <v/>
      </c>
    </row>
    <row r="123" spans="3:10" x14ac:dyDescent="0.25">
      <c r="C123" s="28"/>
      <c r="D123" s="28"/>
      <c r="E123" s="28"/>
      <c r="G123" s="29" t="str">
        <f t="shared" ca="1" si="13"/>
        <v/>
      </c>
      <c r="H123" s="29" t="str">
        <f t="shared" ca="1" si="14"/>
        <v/>
      </c>
      <c r="I123" s="29" t="str">
        <f t="shared" si="15"/>
        <v/>
      </c>
      <c r="J123" s="29" t="str">
        <f t="shared" si="16"/>
        <v/>
      </c>
    </row>
    <row r="124" spans="3:10" x14ac:dyDescent="0.25">
      <c r="C124" s="28"/>
      <c r="D124" s="28"/>
      <c r="E124" s="28"/>
      <c r="G124" s="29" t="str">
        <f t="shared" ca="1" si="13"/>
        <v/>
      </c>
      <c r="H124" s="29" t="str">
        <f t="shared" ca="1" si="14"/>
        <v/>
      </c>
      <c r="I124" s="29" t="str">
        <f t="shared" si="15"/>
        <v/>
      </c>
      <c r="J124" s="29" t="str">
        <f t="shared" si="16"/>
        <v/>
      </c>
    </row>
    <row r="125" spans="3:10" x14ac:dyDescent="0.25">
      <c r="C125" s="28"/>
      <c r="D125" s="28"/>
      <c r="E125" s="28"/>
      <c r="G125" s="29" t="str">
        <f t="shared" ca="1" si="13"/>
        <v/>
      </c>
      <c r="H125" s="29" t="str">
        <f t="shared" ca="1" si="14"/>
        <v/>
      </c>
      <c r="I125" s="29" t="str">
        <f t="shared" si="15"/>
        <v/>
      </c>
      <c r="J125" s="29" t="str">
        <f t="shared" si="16"/>
        <v/>
      </c>
    </row>
    <row r="126" spans="3:10" x14ac:dyDescent="0.25">
      <c r="C126" s="28"/>
      <c r="D126" s="28"/>
      <c r="E126" s="28"/>
      <c r="G126" s="29" t="str">
        <f t="shared" ca="1" si="13"/>
        <v/>
      </c>
      <c r="H126" s="29" t="str">
        <f t="shared" ca="1" si="14"/>
        <v/>
      </c>
      <c r="I126" s="29" t="str">
        <f t="shared" si="15"/>
        <v/>
      </c>
      <c r="J126" s="29" t="str">
        <f t="shared" si="16"/>
        <v/>
      </c>
    </row>
    <row r="127" spans="3:10" x14ac:dyDescent="0.25">
      <c r="C127" s="28"/>
      <c r="D127" s="28"/>
      <c r="E127" s="28"/>
      <c r="G127" s="29" t="str">
        <f t="shared" ca="1" si="13"/>
        <v/>
      </c>
      <c r="H127" s="29" t="str">
        <f t="shared" ca="1" si="14"/>
        <v/>
      </c>
      <c r="I127" s="29" t="str">
        <f t="shared" si="15"/>
        <v/>
      </c>
      <c r="J127" s="29" t="str">
        <f t="shared" si="16"/>
        <v/>
      </c>
    </row>
    <row r="128" spans="3:10" x14ac:dyDescent="0.25">
      <c r="C128" s="28"/>
      <c r="D128" s="28"/>
      <c r="E128" s="28"/>
      <c r="G128" s="29" t="str">
        <f t="shared" ca="1" si="13"/>
        <v/>
      </c>
      <c r="H128" s="29" t="str">
        <f t="shared" ca="1" si="14"/>
        <v/>
      </c>
      <c r="I128" s="29" t="str">
        <f t="shared" si="15"/>
        <v/>
      </c>
      <c r="J128" s="29" t="str">
        <f t="shared" si="16"/>
        <v/>
      </c>
    </row>
    <row r="129" spans="3:10" x14ac:dyDescent="0.25">
      <c r="C129" s="28"/>
      <c r="D129" s="28"/>
      <c r="E129" s="28"/>
      <c r="G129" s="29" t="str">
        <f t="shared" ca="1" si="13"/>
        <v/>
      </c>
      <c r="H129" s="29" t="str">
        <f t="shared" ca="1" si="14"/>
        <v/>
      </c>
      <c r="I129" s="29" t="str">
        <f t="shared" si="15"/>
        <v/>
      </c>
      <c r="J129" s="29" t="str">
        <f t="shared" si="16"/>
        <v/>
      </c>
    </row>
    <row r="130" spans="3:10" x14ac:dyDescent="0.25">
      <c r="C130" s="28"/>
      <c r="D130" s="28"/>
      <c r="E130" s="28"/>
      <c r="G130" s="29" t="str">
        <f t="shared" ca="1" si="13"/>
        <v/>
      </c>
      <c r="H130" s="29" t="str">
        <f t="shared" ca="1" si="14"/>
        <v/>
      </c>
      <c r="I130" s="29" t="str">
        <f t="shared" si="15"/>
        <v/>
      </c>
      <c r="J130" s="29" t="str">
        <f t="shared" si="16"/>
        <v/>
      </c>
    </row>
    <row r="131" spans="3:10" x14ac:dyDescent="0.25">
      <c r="C131" s="28"/>
      <c r="D131" s="28"/>
      <c r="E131" s="28"/>
      <c r="G131" s="29" t="str">
        <f t="shared" ca="1" si="13"/>
        <v/>
      </c>
      <c r="H131" s="29" t="str">
        <f t="shared" ca="1" si="14"/>
        <v/>
      </c>
      <c r="I131" s="29" t="str">
        <f t="shared" si="15"/>
        <v/>
      </c>
      <c r="J131" s="29" t="str">
        <f t="shared" si="16"/>
        <v/>
      </c>
    </row>
    <row r="132" spans="3:10" x14ac:dyDescent="0.25">
      <c r="C132" s="28"/>
      <c r="D132" s="28"/>
      <c r="E132" s="28"/>
      <c r="G132" s="29" t="str">
        <f t="shared" ca="1" si="13"/>
        <v/>
      </c>
      <c r="H132" s="29" t="str">
        <f t="shared" ca="1" si="14"/>
        <v/>
      </c>
      <c r="I132" s="29" t="str">
        <f t="shared" si="15"/>
        <v/>
      </c>
      <c r="J132" s="29" t="str">
        <f t="shared" si="16"/>
        <v/>
      </c>
    </row>
    <row r="133" spans="3:10" x14ac:dyDescent="0.25">
      <c r="C133" s="28"/>
      <c r="D133" s="28"/>
      <c r="E133" s="28"/>
      <c r="G133" s="29" t="str">
        <f t="shared" ca="1" si="13"/>
        <v/>
      </c>
      <c r="H133" s="29" t="str">
        <f t="shared" ca="1" si="14"/>
        <v/>
      </c>
      <c r="I133" s="29" t="str">
        <f t="shared" si="15"/>
        <v/>
      </c>
      <c r="J133" s="29" t="str">
        <f t="shared" si="16"/>
        <v/>
      </c>
    </row>
    <row r="134" spans="3:10" x14ac:dyDescent="0.25">
      <c r="C134" s="28"/>
      <c r="D134" s="28"/>
      <c r="E134" s="28"/>
      <c r="G134" s="29" t="str">
        <f t="shared" ca="1" si="13"/>
        <v/>
      </c>
      <c r="H134" s="29" t="str">
        <f t="shared" ca="1" si="14"/>
        <v/>
      </c>
      <c r="I134" s="29" t="str">
        <f t="shared" si="15"/>
        <v/>
      </c>
      <c r="J134" s="29" t="str">
        <f t="shared" si="16"/>
        <v/>
      </c>
    </row>
    <row r="135" spans="3:10" x14ac:dyDescent="0.25">
      <c r="C135" s="28"/>
      <c r="D135" s="28"/>
      <c r="E135" s="28"/>
      <c r="G135" s="29" t="str">
        <f t="shared" ca="1" si="13"/>
        <v/>
      </c>
      <c r="H135" s="29" t="str">
        <f t="shared" ca="1" si="14"/>
        <v/>
      </c>
      <c r="I135" s="29" t="str">
        <f t="shared" si="15"/>
        <v/>
      </c>
      <c r="J135" s="29" t="str">
        <f t="shared" si="16"/>
        <v/>
      </c>
    </row>
    <row r="136" spans="3:10" x14ac:dyDescent="0.25">
      <c r="C136" s="28"/>
      <c r="D136" s="28"/>
      <c r="E136" s="28"/>
      <c r="G136" s="29" t="str">
        <f t="shared" ca="1" si="13"/>
        <v/>
      </c>
      <c r="H136" s="29" t="str">
        <f t="shared" ca="1" si="14"/>
        <v/>
      </c>
      <c r="I136" s="29" t="str">
        <f t="shared" si="15"/>
        <v/>
      </c>
      <c r="J136" s="29" t="str">
        <f t="shared" si="16"/>
        <v/>
      </c>
    </row>
    <row r="137" spans="3:10" x14ac:dyDescent="0.25">
      <c r="C137" s="28"/>
      <c r="D137" s="28"/>
      <c r="E137" s="28"/>
      <c r="G137" s="29" t="str">
        <f t="shared" ca="1" si="13"/>
        <v/>
      </c>
      <c r="H137" s="29" t="str">
        <f t="shared" ca="1" si="14"/>
        <v/>
      </c>
      <c r="I137" s="29" t="str">
        <f t="shared" si="15"/>
        <v/>
      </c>
      <c r="J137" s="29" t="str">
        <f t="shared" si="16"/>
        <v/>
      </c>
    </row>
    <row r="138" spans="3:10" x14ac:dyDescent="0.25">
      <c r="C138" s="28"/>
      <c r="D138" s="28"/>
      <c r="E138" s="28"/>
      <c r="G138" s="29" t="str">
        <f t="shared" ca="1" si="13"/>
        <v/>
      </c>
      <c r="H138" s="29" t="str">
        <f t="shared" ca="1" si="14"/>
        <v/>
      </c>
      <c r="I138" s="29" t="str">
        <f t="shared" si="15"/>
        <v/>
      </c>
      <c r="J138" s="29" t="str">
        <f t="shared" si="16"/>
        <v/>
      </c>
    </row>
    <row r="139" spans="3:10" x14ac:dyDescent="0.25">
      <c r="C139" s="28"/>
      <c r="D139" s="28"/>
      <c r="E139" s="28"/>
      <c r="G139" s="29" t="str">
        <f t="shared" ca="1" si="13"/>
        <v/>
      </c>
      <c r="H139" s="29" t="str">
        <f t="shared" ca="1" si="14"/>
        <v/>
      </c>
      <c r="I139" s="29" t="str">
        <f t="shared" si="15"/>
        <v/>
      </c>
      <c r="J139" s="29" t="str">
        <f t="shared" si="16"/>
        <v/>
      </c>
    </row>
    <row r="140" spans="3:10" x14ac:dyDescent="0.25">
      <c r="C140" s="28"/>
      <c r="D140" s="28"/>
      <c r="E140" s="28"/>
      <c r="G140" s="29" t="str">
        <f t="shared" ca="1" si="13"/>
        <v/>
      </c>
      <c r="H140" s="29" t="str">
        <f t="shared" ca="1" si="14"/>
        <v/>
      </c>
      <c r="I140" s="29" t="str">
        <f t="shared" si="15"/>
        <v/>
      </c>
      <c r="J140" s="29" t="str">
        <f t="shared" si="16"/>
        <v/>
      </c>
    </row>
    <row r="141" spans="3:10" x14ac:dyDescent="0.25">
      <c r="C141" s="28"/>
      <c r="D141" s="28"/>
      <c r="E141" s="28"/>
      <c r="G141" s="29" t="str">
        <f t="shared" ca="1" si="13"/>
        <v/>
      </c>
      <c r="H141" s="29" t="str">
        <f t="shared" ca="1" si="14"/>
        <v/>
      </c>
      <c r="I141" s="29" t="str">
        <f t="shared" si="15"/>
        <v/>
      </c>
      <c r="J141" s="29" t="str">
        <f t="shared" si="16"/>
        <v/>
      </c>
    </row>
    <row r="142" spans="3:10" x14ac:dyDescent="0.25">
      <c r="C142" s="28"/>
      <c r="D142" s="28"/>
      <c r="E142" s="28"/>
      <c r="G142" s="29" t="str">
        <f t="shared" ca="1" si="13"/>
        <v/>
      </c>
      <c r="H142" s="29" t="str">
        <f t="shared" ca="1" si="14"/>
        <v/>
      </c>
      <c r="I142" s="29" t="str">
        <f t="shared" si="15"/>
        <v/>
      </c>
      <c r="J142" s="29" t="str">
        <f t="shared" si="16"/>
        <v/>
      </c>
    </row>
    <row r="143" spans="3:10" x14ac:dyDescent="0.25">
      <c r="C143" s="28"/>
      <c r="D143" s="28"/>
      <c r="E143" s="28"/>
      <c r="G143" s="29" t="str">
        <f t="shared" ca="1" si="13"/>
        <v/>
      </c>
      <c r="H143" s="29" t="str">
        <f t="shared" ca="1" si="14"/>
        <v/>
      </c>
      <c r="I143" s="29" t="str">
        <f t="shared" si="15"/>
        <v/>
      </c>
      <c r="J143" s="29" t="str">
        <f t="shared" si="16"/>
        <v/>
      </c>
    </row>
    <row r="144" spans="3:10" x14ac:dyDescent="0.25">
      <c r="C144" s="28"/>
      <c r="D144" s="28"/>
      <c r="E144" s="28"/>
      <c r="G144" s="29" t="str">
        <f t="shared" ca="1" si="13"/>
        <v/>
      </c>
      <c r="H144" s="29" t="str">
        <f t="shared" ca="1" si="14"/>
        <v/>
      </c>
      <c r="I144" s="29" t="str">
        <f t="shared" si="15"/>
        <v/>
      </c>
      <c r="J144" s="29" t="str">
        <f t="shared" si="16"/>
        <v/>
      </c>
    </row>
    <row r="145" spans="3:10" x14ac:dyDescent="0.25">
      <c r="C145" s="28"/>
      <c r="D145" s="28"/>
      <c r="E145" s="28"/>
      <c r="G145" s="29" t="str">
        <f t="shared" ca="1" si="13"/>
        <v/>
      </c>
      <c r="H145" s="29" t="str">
        <f t="shared" ca="1" si="14"/>
        <v/>
      </c>
      <c r="I145" s="29" t="str">
        <f t="shared" si="15"/>
        <v/>
      </c>
      <c r="J145" s="29" t="str">
        <f t="shared" si="16"/>
        <v/>
      </c>
    </row>
    <row r="146" spans="3:10" x14ac:dyDescent="0.25">
      <c r="C146" s="28"/>
      <c r="D146" s="28"/>
      <c r="E146" s="28"/>
      <c r="G146" s="29" t="str">
        <f t="shared" ca="1" si="13"/>
        <v/>
      </c>
      <c r="H146" s="29" t="str">
        <f t="shared" ca="1" si="14"/>
        <v/>
      </c>
      <c r="I146" s="29" t="str">
        <f t="shared" si="15"/>
        <v/>
      </c>
      <c r="J146" s="29" t="str">
        <f t="shared" si="16"/>
        <v/>
      </c>
    </row>
    <row r="147" spans="3:10" x14ac:dyDescent="0.25">
      <c r="C147" s="28"/>
      <c r="D147" s="28"/>
      <c r="E147" s="28"/>
      <c r="G147" s="29" t="str">
        <f t="shared" ca="1" si="13"/>
        <v/>
      </c>
      <c r="H147" s="29" t="str">
        <f t="shared" ca="1" si="14"/>
        <v/>
      </c>
      <c r="I147" s="29" t="str">
        <f t="shared" si="15"/>
        <v/>
      </c>
      <c r="J147" s="29" t="str">
        <f t="shared" si="16"/>
        <v/>
      </c>
    </row>
    <row r="148" spans="3:10" x14ac:dyDescent="0.25">
      <c r="C148" s="28"/>
      <c r="D148" s="28"/>
      <c r="E148" s="28"/>
      <c r="G148" s="29" t="str">
        <f t="shared" ca="1" si="13"/>
        <v/>
      </c>
      <c r="H148" s="29" t="str">
        <f t="shared" ca="1" si="14"/>
        <v/>
      </c>
      <c r="I148" s="29" t="str">
        <f t="shared" si="15"/>
        <v/>
      </c>
      <c r="J148" s="29" t="str">
        <f t="shared" si="16"/>
        <v/>
      </c>
    </row>
    <row r="149" spans="3:10" x14ac:dyDescent="0.25">
      <c r="C149" s="28"/>
      <c r="D149" s="28"/>
      <c r="E149" s="28"/>
      <c r="G149" s="29" t="str">
        <f t="shared" ca="1" si="13"/>
        <v/>
      </c>
      <c r="H149" s="29" t="str">
        <f t="shared" ca="1" si="14"/>
        <v/>
      </c>
      <c r="I149" s="29" t="str">
        <f t="shared" si="15"/>
        <v/>
      </c>
      <c r="J149" s="29" t="str">
        <f t="shared" si="16"/>
        <v/>
      </c>
    </row>
    <row r="150" spans="3:10" x14ac:dyDescent="0.25">
      <c r="C150" s="28"/>
      <c r="D150" s="28"/>
      <c r="E150" s="28"/>
      <c r="G150" s="29" t="str">
        <f t="shared" ca="1" si="13"/>
        <v/>
      </c>
      <c r="H150" s="29" t="str">
        <f t="shared" ca="1" si="14"/>
        <v/>
      </c>
      <c r="I150" s="29" t="str">
        <f t="shared" si="15"/>
        <v/>
      </c>
      <c r="J150" s="29" t="str">
        <f t="shared" si="16"/>
        <v/>
      </c>
    </row>
    <row r="151" spans="3:10" x14ac:dyDescent="0.25">
      <c r="C151" s="28"/>
      <c r="D151" s="28"/>
      <c r="E151" s="28"/>
      <c r="G151" s="29" t="str">
        <f t="shared" ca="1" si="13"/>
        <v/>
      </c>
      <c r="H151" s="29" t="str">
        <f t="shared" ca="1" si="14"/>
        <v/>
      </c>
      <c r="I151" s="29" t="str">
        <f t="shared" si="15"/>
        <v/>
      </c>
      <c r="J151" s="29" t="str">
        <f t="shared" si="16"/>
        <v/>
      </c>
    </row>
    <row r="152" spans="3:10" x14ac:dyDescent="0.25">
      <c r="C152" s="28"/>
      <c r="D152" s="28"/>
      <c r="E152" s="28"/>
      <c r="G152" s="29" t="str">
        <f t="shared" ca="1" si="13"/>
        <v/>
      </c>
      <c r="H152" s="29" t="str">
        <f t="shared" ca="1" si="14"/>
        <v/>
      </c>
      <c r="I152" s="29" t="str">
        <f t="shared" si="15"/>
        <v/>
      </c>
      <c r="J152" s="29" t="str">
        <f t="shared" si="16"/>
        <v/>
      </c>
    </row>
    <row r="153" spans="3:10" x14ac:dyDescent="0.25">
      <c r="C153" s="28"/>
      <c r="D153" s="28"/>
      <c r="E153" s="28"/>
      <c r="G153" s="29" t="str">
        <f t="shared" ca="1" si="13"/>
        <v/>
      </c>
      <c r="H153" s="29" t="str">
        <f t="shared" ca="1" si="14"/>
        <v/>
      </c>
      <c r="I153" s="29" t="str">
        <f t="shared" si="15"/>
        <v/>
      </c>
      <c r="J153" s="29" t="str">
        <f t="shared" si="16"/>
        <v/>
      </c>
    </row>
    <row r="154" spans="3:10" x14ac:dyDescent="0.25">
      <c r="C154" s="28"/>
      <c r="D154" s="28"/>
      <c r="E154" s="28"/>
      <c r="G154" s="29" t="str">
        <f t="shared" ca="1" si="13"/>
        <v/>
      </c>
      <c r="H154" s="29" t="str">
        <f t="shared" ca="1" si="14"/>
        <v/>
      </c>
      <c r="I154" s="29" t="str">
        <f t="shared" si="15"/>
        <v/>
      </c>
      <c r="J154" s="29" t="str">
        <f t="shared" si="16"/>
        <v/>
      </c>
    </row>
    <row r="155" spans="3:10" x14ac:dyDescent="0.25">
      <c r="C155" s="28"/>
      <c r="D155" s="28"/>
      <c r="E155" s="28"/>
      <c r="G155" s="29" t="str">
        <f t="shared" ca="1" si="13"/>
        <v/>
      </c>
      <c r="H155" s="29" t="str">
        <f t="shared" ca="1" si="14"/>
        <v/>
      </c>
      <c r="I155" s="29" t="str">
        <f t="shared" si="15"/>
        <v/>
      </c>
      <c r="J155" s="29" t="str">
        <f t="shared" si="16"/>
        <v/>
      </c>
    </row>
    <row r="156" spans="3:10" x14ac:dyDescent="0.25">
      <c r="C156" s="28"/>
      <c r="D156" s="28"/>
      <c r="E156" s="28"/>
      <c r="G156" s="29" t="str">
        <f t="shared" ca="1" si="13"/>
        <v/>
      </c>
      <c r="H156" s="29" t="str">
        <f t="shared" ca="1" si="14"/>
        <v/>
      </c>
      <c r="I156" s="29" t="str">
        <f t="shared" si="15"/>
        <v/>
      </c>
      <c r="J156" s="29" t="str">
        <f t="shared" si="16"/>
        <v/>
      </c>
    </row>
    <row r="157" spans="3:10" x14ac:dyDescent="0.25">
      <c r="C157" s="28"/>
      <c r="D157" s="28"/>
      <c r="E157" s="28"/>
      <c r="G157" s="29" t="str">
        <f t="shared" ca="1" si="13"/>
        <v/>
      </c>
      <c r="H157" s="29" t="str">
        <f t="shared" ca="1" si="14"/>
        <v/>
      </c>
      <c r="I157" s="29" t="str">
        <f t="shared" si="15"/>
        <v/>
      </c>
      <c r="J157" s="29" t="str">
        <f t="shared" si="16"/>
        <v/>
      </c>
    </row>
    <row r="158" spans="3:10" x14ac:dyDescent="0.25">
      <c r="C158" s="28"/>
      <c r="D158" s="28"/>
      <c r="E158" s="28"/>
      <c r="G158" s="29" t="str">
        <f t="shared" ca="1" si="13"/>
        <v/>
      </c>
      <c r="H158" s="29" t="str">
        <f t="shared" ca="1" si="14"/>
        <v/>
      </c>
      <c r="I158" s="29" t="str">
        <f t="shared" si="15"/>
        <v/>
      </c>
      <c r="J158" s="29" t="str">
        <f t="shared" si="16"/>
        <v/>
      </c>
    </row>
    <row r="159" spans="3:10" x14ac:dyDescent="0.25">
      <c r="C159" s="28"/>
      <c r="D159" s="28"/>
      <c r="E159" s="28"/>
      <c r="G159" s="29" t="str">
        <f t="shared" ca="1" si="13"/>
        <v/>
      </c>
      <c r="H159" s="29" t="str">
        <f t="shared" ca="1" si="14"/>
        <v/>
      </c>
      <c r="I159" s="29" t="str">
        <f t="shared" si="15"/>
        <v/>
      </c>
      <c r="J159" s="29" t="str">
        <f t="shared" si="16"/>
        <v/>
      </c>
    </row>
    <row r="160" spans="3:10" x14ac:dyDescent="0.25">
      <c r="C160" s="28"/>
      <c r="D160" s="28"/>
      <c r="E160" s="28"/>
      <c r="G160" s="29" t="str">
        <f t="shared" ca="1" si="13"/>
        <v/>
      </c>
      <c r="H160" s="29" t="str">
        <f t="shared" ca="1" si="14"/>
        <v/>
      </c>
      <c r="I160" s="29" t="str">
        <f t="shared" si="15"/>
        <v/>
      </c>
      <c r="J160" s="29" t="str">
        <f t="shared" si="16"/>
        <v/>
      </c>
    </row>
    <row r="161" spans="3:10" x14ac:dyDescent="0.25">
      <c r="C161" s="28"/>
      <c r="D161" s="28"/>
      <c r="E161" s="28"/>
      <c r="G161" s="29" t="str">
        <f t="shared" ca="1" si="13"/>
        <v/>
      </c>
      <c r="H161" s="29" t="str">
        <f t="shared" ca="1" si="14"/>
        <v/>
      </c>
      <c r="I161" s="29" t="str">
        <f t="shared" si="15"/>
        <v/>
      </c>
      <c r="J161" s="29" t="str">
        <f t="shared" si="16"/>
        <v/>
      </c>
    </row>
    <row r="162" spans="3:10" x14ac:dyDescent="0.25">
      <c r="C162" s="28"/>
      <c r="D162" s="28"/>
      <c r="E162" s="28"/>
      <c r="G162" s="29" t="str">
        <f t="shared" ca="1" si="13"/>
        <v/>
      </c>
      <c r="H162" s="29" t="str">
        <f t="shared" ca="1" si="14"/>
        <v/>
      </c>
      <c r="I162" s="29" t="str">
        <f t="shared" si="15"/>
        <v/>
      </c>
      <c r="J162" s="29" t="str">
        <f t="shared" si="16"/>
        <v/>
      </c>
    </row>
    <row r="163" spans="3:10" x14ac:dyDescent="0.25">
      <c r="C163" s="28"/>
      <c r="D163" s="28"/>
      <c r="E163" s="28"/>
      <c r="G163" s="29" t="str">
        <f t="shared" ca="1" si="13"/>
        <v/>
      </c>
      <c r="H163" s="29" t="str">
        <f t="shared" ca="1" si="14"/>
        <v/>
      </c>
      <c r="I163" s="29" t="str">
        <f t="shared" si="15"/>
        <v/>
      </c>
      <c r="J163" s="29" t="str">
        <f t="shared" si="16"/>
        <v/>
      </c>
    </row>
    <row r="164" spans="3:10" x14ac:dyDescent="0.25">
      <c r="C164" s="28"/>
      <c r="D164" s="28"/>
      <c r="E164" s="28"/>
      <c r="G164" s="29" t="str">
        <f t="shared" ca="1" si="13"/>
        <v/>
      </c>
      <c r="H164" s="29" t="str">
        <f t="shared" ca="1" si="14"/>
        <v/>
      </c>
      <c r="I164" s="29" t="str">
        <f t="shared" si="15"/>
        <v/>
      </c>
      <c r="J164" s="29" t="str">
        <f t="shared" si="16"/>
        <v/>
      </c>
    </row>
    <row r="165" spans="3:10" x14ac:dyDescent="0.25">
      <c r="C165" s="28"/>
      <c r="D165" s="28"/>
      <c r="E165" s="28"/>
      <c r="G165" s="29" t="str">
        <f t="shared" ca="1" si="13"/>
        <v/>
      </c>
      <c r="H165" s="29" t="str">
        <f t="shared" ca="1" si="14"/>
        <v/>
      </c>
      <c r="I165" s="29" t="str">
        <f t="shared" si="15"/>
        <v/>
      </c>
      <c r="J165" s="29" t="str">
        <f t="shared" si="16"/>
        <v/>
      </c>
    </row>
    <row r="166" spans="3:10" x14ac:dyDescent="0.25">
      <c r="C166" s="28"/>
      <c r="D166" s="28"/>
      <c r="E166" s="28"/>
      <c r="G166" s="29" t="str">
        <f t="shared" ref="G166:G208" ca="1" si="17">IF(C166="","",IF(F166="Recebido",E166-C166,TODAY()-C166))</f>
        <v/>
      </c>
      <c r="H166" s="29" t="str">
        <f t="shared" ref="H166:H208" ca="1" si="18">IF(D166="","",IF(F166="Recebido",E166-D166,TODAY()-D166))</f>
        <v/>
      </c>
      <c r="I166" s="29" t="str">
        <f t="shared" ref="I166:I208" si="19">IF(OR(C166="",D166=""),"",D166-C166)</f>
        <v/>
      </c>
      <c r="J166" s="29" t="str">
        <f t="shared" ref="J166:J208" si="20">IF(OR(D166="",E166=""),"",E166-D166)</f>
        <v/>
      </c>
    </row>
    <row r="167" spans="3:10" x14ac:dyDescent="0.25">
      <c r="C167" s="28"/>
      <c r="D167" s="28"/>
      <c r="E167" s="28"/>
      <c r="G167" s="29" t="str">
        <f t="shared" ca="1" si="17"/>
        <v/>
      </c>
      <c r="H167" s="29" t="str">
        <f t="shared" ca="1" si="18"/>
        <v/>
      </c>
      <c r="I167" s="29" t="str">
        <f t="shared" si="19"/>
        <v/>
      </c>
      <c r="J167" s="29" t="str">
        <f t="shared" si="20"/>
        <v/>
      </c>
    </row>
    <row r="168" spans="3:10" x14ac:dyDescent="0.25">
      <c r="C168" s="28"/>
      <c r="D168" s="28"/>
      <c r="E168" s="28"/>
      <c r="G168" s="29" t="str">
        <f t="shared" ca="1" si="17"/>
        <v/>
      </c>
      <c r="H168" s="29" t="str">
        <f t="shared" ca="1" si="18"/>
        <v/>
      </c>
      <c r="I168" s="29" t="str">
        <f t="shared" si="19"/>
        <v/>
      </c>
      <c r="J168" s="29" t="str">
        <f t="shared" si="20"/>
        <v/>
      </c>
    </row>
    <row r="169" spans="3:10" x14ac:dyDescent="0.25">
      <c r="C169" s="28"/>
      <c r="D169" s="28"/>
      <c r="E169" s="28"/>
      <c r="G169" s="29" t="str">
        <f t="shared" ca="1" si="17"/>
        <v/>
      </c>
      <c r="H169" s="29" t="str">
        <f t="shared" ca="1" si="18"/>
        <v/>
      </c>
      <c r="I169" s="29" t="str">
        <f t="shared" si="19"/>
        <v/>
      </c>
      <c r="J169" s="29" t="str">
        <f t="shared" si="20"/>
        <v/>
      </c>
    </row>
    <row r="170" spans="3:10" x14ac:dyDescent="0.25">
      <c r="C170" s="28"/>
      <c r="D170" s="28"/>
      <c r="E170" s="28"/>
      <c r="G170" s="29" t="str">
        <f t="shared" ca="1" si="17"/>
        <v/>
      </c>
      <c r="H170" s="29" t="str">
        <f t="shared" ca="1" si="18"/>
        <v/>
      </c>
      <c r="I170" s="29" t="str">
        <f t="shared" si="19"/>
        <v/>
      </c>
      <c r="J170" s="29" t="str">
        <f t="shared" si="20"/>
        <v/>
      </c>
    </row>
    <row r="171" spans="3:10" x14ac:dyDescent="0.25">
      <c r="C171" s="28"/>
      <c r="D171" s="28"/>
      <c r="E171" s="28"/>
      <c r="G171" s="29" t="str">
        <f t="shared" ca="1" si="17"/>
        <v/>
      </c>
      <c r="H171" s="29" t="str">
        <f t="shared" ca="1" si="18"/>
        <v/>
      </c>
      <c r="I171" s="29" t="str">
        <f t="shared" si="19"/>
        <v/>
      </c>
      <c r="J171" s="29" t="str">
        <f t="shared" si="20"/>
        <v/>
      </c>
    </row>
    <row r="172" spans="3:10" x14ac:dyDescent="0.25">
      <c r="C172" s="28"/>
      <c r="D172" s="28"/>
      <c r="E172" s="28"/>
      <c r="G172" s="29" t="str">
        <f t="shared" ca="1" si="17"/>
        <v/>
      </c>
      <c r="H172" s="29" t="str">
        <f t="shared" ca="1" si="18"/>
        <v/>
      </c>
      <c r="I172" s="29" t="str">
        <f t="shared" si="19"/>
        <v/>
      </c>
      <c r="J172" s="29" t="str">
        <f t="shared" si="20"/>
        <v/>
      </c>
    </row>
    <row r="173" spans="3:10" x14ac:dyDescent="0.25">
      <c r="C173" s="28"/>
      <c r="D173" s="28"/>
      <c r="E173" s="28"/>
      <c r="G173" s="29" t="str">
        <f t="shared" ca="1" si="17"/>
        <v/>
      </c>
      <c r="H173" s="29" t="str">
        <f t="shared" ca="1" si="18"/>
        <v/>
      </c>
      <c r="I173" s="29" t="str">
        <f t="shared" si="19"/>
        <v/>
      </c>
      <c r="J173" s="29" t="str">
        <f t="shared" si="20"/>
        <v/>
      </c>
    </row>
    <row r="174" spans="3:10" x14ac:dyDescent="0.25">
      <c r="C174" s="28"/>
      <c r="D174" s="28"/>
      <c r="E174" s="28"/>
      <c r="G174" s="29" t="str">
        <f t="shared" ca="1" si="17"/>
        <v/>
      </c>
      <c r="H174" s="29" t="str">
        <f t="shared" ca="1" si="18"/>
        <v/>
      </c>
      <c r="I174" s="29" t="str">
        <f t="shared" si="19"/>
        <v/>
      </c>
      <c r="J174" s="29" t="str">
        <f t="shared" si="20"/>
        <v/>
      </c>
    </row>
    <row r="175" spans="3:10" x14ac:dyDescent="0.25">
      <c r="C175" s="28"/>
      <c r="D175" s="28"/>
      <c r="E175" s="28"/>
      <c r="G175" s="29" t="str">
        <f t="shared" ca="1" si="17"/>
        <v/>
      </c>
      <c r="H175" s="29" t="str">
        <f t="shared" ca="1" si="18"/>
        <v/>
      </c>
      <c r="I175" s="29" t="str">
        <f t="shared" si="19"/>
        <v/>
      </c>
      <c r="J175" s="29" t="str">
        <f t="shared" si="20"/>
        <v/>
      </c>
    </row>
    <row r="176" spans="3:10" x14ac:dyDescent="0.25">
      <c r="C176" s="28"/>
      <c r="D176" s="28"/>
      <c r="E176" s="28"/>
      <c r="G176" s="29" t="str">
        <f t="shared" ca="1" si="17"/>
        <v/>
      </c>
      <c r="H176" s="29" t="str">
        <f t="shared" ca="1" si="18"/>
        <v/>
      </c>
      <c r="I176" s="29" t="str">
        <f t="shared" si="19"/>
        <v/>
      </c>
      <c r="J176" s="29" t="str">
        <f t="shared" si="20"/>
        <v/>
      </c>
    </row>
    <row r="177" spans="3:10" x14ac:dyDescent="0.25">
      <c r="C177" s="28"/>
      <c r="D177" s="28"/>
      <c r="E177" s="28"/>
      <c r="G177" s="29" t="str">
        <f t="shared" ca="1" si="17"/>
        <v/>
      </c>
      <c r="H177" s="29" t="str">
        <f t="shared" ca="1" si="18"/>
        <v/>
      </c>
      <c r="I177" s="29" t="str">
        <f t="shared" si="19"/>
        <v/>
      </c>
      <c r="J177" s="29" t="str">
        <f t="shared" si="20"/>
        <v/>
      </c>
    </row>
    <row r="178" spans="3:10" x14ac:dyDescent="0.25">
      <c r="C178" s="28"/>
      <c r="D178" s="28"/>
      <c r="E178" s="28"/>
      <c r="G178" s="29" t="str">
        <f t="shared" ca="1" si="17"/>
        <v/>
      </c>
      <c r="H178" s="29" t="str">
        <f t="shared" ca="1" si="18"/>
        <v/>
      </c>
      <c r="I178" s="29" t="str">
        <f t="shared" si="19"/>
        <v/>
      </c>
      <c r="J178" s="29" t="str">
        <f t="shared" si="20"/>
        <v/>
      </c>
    </row>
    <row r="179" spans="3:10" x14ac:dyDescent="0.25">
      <c r="C179" s="28"/>
      <c r="D179" s="28"/>
      <c r="E179" s="28"/>
      <c r="G179" s="29" t="str">
        <f t="shared" ca="1" si="17"/>
        <v/>
      </c>
      <c r="H179" s="29" t="str">
        <f t="shared" ca="1" si="18"/>
        <v/>
      </c>
      <c r="I179" s="29" t="str">
        <f t="shared" si="19"/>
        <v/>
      </c>
      <c r="J179" s="29" t="str">
        <f t="shared" si="20"/>
        <v/>
      </c>
    </row>
    <row r="180" spans="3:10" x14ac:dyDescent="0.25">
      <c r="C180" s="28"/>
      <c r="D180" s="28"/>
      <c r="E180" s="28"/>
      <c r="G180" s="29" t="str">
        <f t="shared" ca="1" si="17"/>
        <v/>
      </c>
      <c r="H180" s="29" t="str">
        <f t="shared" ca="1" si="18"/>
        <v/>
      </c>
      <c r="I180" s="29" t="str">
        <f t="shared" si="19"/>
        <v/>
      </c>
      <c r="J180" s="29" t="str">
        <f t="shared" si="20"/>
        <v/>
      </c>
    </row>
    <row r="181" spans="3:10" x14ac:dyDescent="0.25">
      <c r="C181" s="28"/>
      <c r="D181" s="28"/>
      <c r="E181" s="28"/>
      <c r="G181" s="29" t="str">
        <f t="shared" ca="1" si="17"/>
        <v/>
      </c>
      <c r="H181" s="29" t="str">
        <f t="shared" ca="1" si="18"/>
        <v/>
      </c>
      <c r="I181" s="29" t="str">
        <f t="shared" si="19"/>
        <v/>
      </c>
      <c r="J181" s="29" t="str">
        <f t="shared" si="20"/>
        <v/>
      </c>
    </row>
    <row r="182" spans="3:10" x14ac:dyDescent="0.25">
      <c r="C182" s="28"/>
      <c r="D182" s="28"/>
      <c r="E182" s="28"/>
      <c r="G182" s="29" t="str">
        <f t="shared" ca="1" si="17"/>
        <v/>
      </c>
      <c r="H182" s="29" t="str">
        <f t="shared" ca="1" si="18"/>
        <v/>
      </c>
      <c r="I182" s="29" t="str">
        <f t="shared" si="19"/>
        <v/>
      </c>
      <c r="J182" s="29" t="str">
        <f t="shared" si="20"/>
        <v/>
      </c>
    </row>
    <row r="183" spans="3:10" x14ac:dyDescent="0.25">
      <c r="C183" s="28"/>
      <c r="D183" s="28"/>
      <c r="E183" s="28"/>
      <c r="G183" s="29" t="str">
        <f t="shared" ca="1" si="17"/>
        <v/>
      </c>
      <c r="H183" s="29" t="str">
        <f t="shared" ca="1" si="18"/>
        <v/>
      </c>
      <c r="I183" s="29" t="str">
        <f t="shared" si="19"/>
        <v/>
      </c>
      <c r="J183" s="29" t="str">
        <f t="shared" si="20"/>
        <v/>
      </c>
    </row>
    <row r="184" spans="3:10" x14ac:dyDescent="0.25">
      <c r="C184" s="28"/>
      <c r="D184" s="28"/>
      <c r="E184" s="28"/>
      <c r="G184" s="29" t="str">
        <f t="shared" ca="1" si="17"/>
        <v/>
      </c>
      <c r="H184" s="29" t="str">
        <f t="shared" ca="1" si="18"/>
        <v/>
      </c>
      <c r="I184" s="29" t="str">
        <f t="shared" si="19"/>
        <v/>
      </c>
      <c r="J184" s="29" t="str">
        <f t="shared" si="20"/>
        <v/>
      </c>
    </row>
    <row r="185" spans="3:10" x14ac:dyDescent="0.25">
      <c r="C185" s="28"/>
      <c r="D185" s="28"/>
      <c r="E185" s="28"/>
      <c r="G185" s="29" t="str">
        <f t="shared" ca="1" si="17"/>
        <v/>
      </c>
      <c r="H185" s="29" t="str">
        <f t="shared" ca="1" si="18"/>
        <v/>
      </c>
      <c r="I185" s="29" t="str">
        <f t="shared" si="19"/>
        <v/>
      </c>
      <c r="J185" s="29" t="str">
        <f t="shared" si="20"/>
        <v/>
      </c>
    </row>
    <row r="186" spans="3:10" x14ac:dyDescent="0.25">
      <c r="C186" s="28"/>
      <c r="D186" s="28"/>
      <c r="E186" s="28"/>
      <c r="G186" s="29" t="str">
        <f t="shared" ca="1" si="17"/>
        <v/>
      </c>
      <c r="H186" s="29" t="str">
        <f t="shared" ca="1" si="18"/>
        <v/>
      </c>
      <c r="I186" s="29" t="str">
        <f t="shared" si="19"/>
        <v/>
      </c>
      <c r="J186" s="29" t="str">
        <f t="shared" si="20"/>
        <v/>
      </c>
    </row>
    <row r="187" spans="3:10" x14ac:dyDescent="0.25">
      <c r="C187" s="28"/>
      <c r="D187" s="28"/>
      <c r="E187" s="28"/>
      <c r="G187" s="29" t="str">
        <f t="shared" ca="1" si="17"/>
        <v/>
      </c>
      <c r="H187" s="29" t="str">
        <f t="shared" ca="1" si="18"/>
        <v/>
      </c>
      <c r="I187" s="29" t="str">
        <f t="shared" si="19"/>
        <v/>
      </c>
      <c r="J187" s="29" t="str">
        <f t="shared" si="20"/>
        <v/>
      </c>
    </row>
    <row r="188" spans="3:10" x14ac:dyDescent="0.25">
      <c r="C188" s="28"/>
      <c r="D188" s="28"/>
      <c r="E188" s="28"/>
      <c r="G188" s="29" t="str">
        <f t="shared" ca="1" si="17"/>
        <v/>
      </c>
      <c r="H188" s="29" t="str">
        <f t="shared" ca="1" si="18"/>
        <v/>
      </c>
      <c r="I188" s="29" t="str">
        <f t="shared" si="19"/>
        <v/>
      </c>
      <c r="J188" s="29" t="str">
        <f t="shared" si="20"/>
        <v/>
      </c>
    </row>
    <row r="189" spans="3:10" x14ac:dyDescent="0.25">
      <c r="C189" s="28"/>
      <c r="D189" s="28"/>
      <c r="E189" s="28"/>
      <c r="G189" s="29" t="str">
        <f t="shared" ca="1" si="17"/>
        <v/>
      </c>
      <c r="H189" s="29" t="str">
        <f t="shared" ca="1" si="18"/>
        <v/>
      </c>
      <c r="I189" s="29" t="str">
        <f t="shared" si="19"/>
        <v/>
      </c>
      <c r="J189" s="29" t="str">
        <f t="shared" si="20"/>
        <v/>
      </c>
    </row>
    <row r="190" spans="3:10" x14ac:dyDescent="0.25">
      <c r="C190" s="28"/>
      <c r="D190" s="28"/>
      <c r="E190" s="28"/>
      <c r="G190" s="29" t="str">
        <f t="shared" ca="1" si="17"/>
        <v/>
      </c>
      <c r="H190" s="29" t="str">
        <f t="shared" ca="1" si="18"/>
        <v/>
      </c>
      <c r="I190" s="29" t="str">
        <f t="shared" si="19"/>
        <v/>
      </c>
      <c r="J190" s="29" t="str">
        <f t="shared" si="20"/>
        <v/>
      </c>
    </row>
    <row r="191" spans="3:10" x14ac:dyDescent="0.25">
      <c r="C191" s="28"/>
      <c r="D191" s="28"/>
      <c r="E191" s="28"/>
      <c r="G191" s="29" t="str">
        <f t="shared" ca="1" si="17"/>
        <v/>
      </c>
      <c r="H191" s="29" t="str">
        <f t="shared" ca="1" si="18"/>
        <v/>
      </c>
      <c r="I191" s="29" t="str">
        <f t="shared" si="19"/>
        <v/>
      </c>
      <c r="J191" s="29" t="str">
        <f t="shared" si="20"/>
        <v/>
      </c>
    </row>
    <row r="192" spans="3:10" x14ac:dyDescent="0.25">
      <c r="C192" s="28"/>
      <c r="D192" s="28"/>
      <c r="E192" s="28"/>
      <c r="G192" s="29" t="str">
        <f t="shared" ca="1" si="17"/>
        <v/>
      </c>
      <c r="H192" s="29" t="str">
        <f t="shared" ca="1" si="18"/>
        <v/>
      </c>
      <c r="I192" s="29" t="str">
        <f t="shared" si="19"/>
        <v/>
      </c>
      <c r="J192" s="29" t="str">
        <f t="shared" si="20"/>
        <v/>
      </c>
    </row>
    <row r="193" spans="3:10" x14ac:dyDescent="0.25">
      <c r="C193" s="28"/>
      <c r="D193" s="28"/>
      <c r="E193" s="28"/>
      <c r="G193" s="29" t="str">
        <f t="shared" ca="1" si="17"/>
        <v/>
      </c>
      <c r="H193" s="29" t="str">
        <f t="shared" ca="1" si="18"/>
        <v/>
      </c>
      <c r="I193" s="29" t="str">
        <f t="shared" si="19"/>
        <v/>
      </c>
      <c r="J193" s="29" t="str">
        <f t="shared" si="20"/>
        <v/>
      </c>
    </row>
    <row r="194" spans="3:10" x14ac:dyDescent="0.25">
      <c r="C194" s="28"/>
      <c r="D194" s="28"/>
      <c r="E194" s="28"/>
      <c r="G194" s="29" t="str">
        <f t="shared" ca="1" si="17"/>
        <v/>
      </c>
      <c r="H194" s="29" t="str">
        <f t="shared" ca="1" si="18"/>
        <v/>
      </c>
      <c r="I194" s="29" t="str">
        <f t="shared" si="19"/>
        <v/>
      </c>
      <c r="J194" s="29" t="str">
        <f t="shared" si="20"/>
        <v/>
      </c>
    </row>
    <row r="195" spans="3:10" x14ac:dyDescent="0.25">
      <c r="C195" s="28"/>
      <c r="D195" s="28"/>
      <c r="E195" s="28"/>
      <c r="G195" s="29" t="str">
        <f t="shared" ca="1" si="17"/>
        <v/>
      </c>
      <c r="H195" s="29" t="str">
        <f t="shared" ca="1" si="18"/>
        <v/>
      </c>
      <c r="I195" s="29" t="str">
        <f t="shared" si="19"/>
        <v/>
      </c>
      <c r="J195" s="29" t="str">
        <f t="shared" si="20"/>
        <v/>
      </c>
    </row>
    <row r="196" spans="3:10" x14ac:dyDescent="0.25">
      <c r="C196" s="28"/>
      <c r="D196" s="28"/>
      <c r="E196" s="28"/>
      <c r="G196" s="29" t="str">
        <f t="shared" ca="1" si="17"/>
        <v/>
      </c>
      <c r="H196" s="29" t="str">
        <f t="shared" ca="1" si="18"/>
        <v/>
      </c>
      <c r="I196" s="29" t="str">
        <f t="shared" si="19"/>
        <v/>
      </c>
      <c r="J196" s="29" t="str">
        <f t="shared" si="20"/>
        <v/>
      </c>
    </row>
    <row r="197" spans="3:10" x14ac:dyDescent="0.25">
      <c r="C197" s="28"/>
      <c r="D197" s="28"/>
      <c r="E197" s="28"/>
      <c r="G197" s="29" t="str">
        <f t="shared" ca="1" si="17"/>
        <v/>
      </c>
      <c r="H197" s="29" t="str">
        <f t="shared" ca="1" si="18"/>
        <v/>
      </c>
      <c r="I197" s="29" t="str">
        <f t="shared" si="19"/>
        <v/>
      </c>
      <c r="J197" s="29" t="str">
        <f t="shared" si="20"/>
        <v/>
      </c>
    </row>
    <row r="198" spans="3:10" x14ac:dyDescent="0.25">
      <c r="C198" s="28"/>
      <c r="D198" s="28"/>
      <c r="E198" s="28"/>
      <c r="G198" s="29" t="str">
        <f t="shared" ca="1" si="17"/>
        <v/>
      </c>
      <c r="H198" s="29" t="str">
        <f t="shared" ca="1" si="18"/>
        <v/>
      </c>
      <c r="I198" s="29" t="str">
        <f t="shared" si="19"/>
        <v/>
      </c>
      <c r="J198" s="29" t="str">
        <f t="shared" si="20"/>
        <v/>
      </c>
    </row>
    <row r="199" spans="3:10" x14ac:dyDescent="0.25">
      <c r="C199" s="28"/>
      <c r="D199" s="28"/>
      <c r="E199" s="28"/>
      <c r="G199" s="29" t="str">
        <f t="shared" ca="1" si="17"/>
        <v/>
      </c>
      <c r="H199" s="29" t="str">
        <f t="shared" ca="1" si="18"/>
        <v/>
      </c>
      <c r="I199" s="29" t="str">
        <f t="shared" si="19"/>
        <v/>
      </c>
      <c r="J199" s="29" t="str">
        <f t="shared" si="20"/>
        <v/>
      </c>
    </row>
    <row r="200" spans="3:10" x14ac:dyDescent="0.25">
      <c r="C200" s="28"/>
      <c r="D200" s="28"/>
      <c r="E200" s="28"/>
      <c r="G200" s="29" t="str">
        <f t="shared" ca="1" si="17"/>
        <v/>
      </c>
      <c r="H200" s="29" t="str">
        <f t="shared" ca="1" si="18"/>
        <v/>
      </c>
      <c r="I200" s="29" t="str">
        <f t="shared" si="19"/>
        <v/>
      </c>
      <c r="J200" s="29" t="str">
        <f t="shared" si="20"/>
        <v/>
      </c>
    </row>
    <row r="201" spans="3:10" x14ac:dyDescent="0.25">
      <c r="C201" s="28"/>
      <c r="D201" s="28"/>
      <c r="E201" s="28"/>
      <c r="G201" s="29" t="str">
        <f t="shared" ca="1" si="17"/>
        <v/>
      </c>
      <c r="H201" s="29" t="str">
        <f t="shared" ca="1" si="18"/>
        <v/>
      </c>
      <c r="I201" s="29" t="str">
        <f t="shared" si="19"/>
        <v/>
      </c>
      <c r="J201" s="29" t="str">
        <f t="shared" si="20"/>
        <v/>
      </c>
    </row>
    <row r="202" spans="3:10" x14ac:dyDescent="0.25">
      <c r="C202" s="28"/>
      <c r="D202" s="28"/>
      <c r="E202" s="28"/>
      <c r="G202" s="29" t="str">
        <f t="shared" ca="1" si="17"/>
        <v/>
      </c>
      <c r="H202" s="29" t="str">
        <f t="shared" ca="1" si="18"/>
        <v/>
      </c>
      <c r="I202" s="29" t="str">
        <f t="shared" si="19"/>
        <v/>
      </c>
      <c r="J202" s="29" t="str">
        <f t="shared" si="20"/>
        <v/>
      </c>
    </row>
    <row r="203" spans="3:10" x14ac:dyDescent="0.25">
      <c r="C203" s="28"/>
      <c r="D203" s="28"/>
      <c r="E203" s="28"/>
      <c r="G203" s="29" t="str">
        <f t="shared" ca="1" si="17"/>
        <v/>
      </c>
      <c r="H203" s="29" t="str">
        <f t="shared" ca="1" si="18"/>
        <v/>
      </c>
      <c r="I203" s="29" t="str">
        <f t="shared" si="19"/>
        <v/>
      </c>
      <c r="J203" s="29" t="str">
        <f t="shared" si="20"/>
        <v/>
      </c>
    </row>
    <row r="204" spans="3:10" x14ac:dyDescent="0.25">
      <c r="C204" s="28"/>
      <c r="D204" s="28"/>
      <c r="E204" s="28"/>
      <c r="G204" s="29" t="str">
        <f t="shared" ca="1" si="17"/>
        <v/>
      </c>
      <c r="H204" s="29" t="str">
        <f t="shared" ca="1" si="18"/>
        <v/>
      </c>
      <c r="I204" s="29" t="str">
        <f t="shared" si="19"/>
        <v/>
      </c>
      <c r="J204" s="29" t="str">
        <f t="shared" si="20"/>
        <v/>
      </c>
    </row>
    <row r="205" spans="3:10" x14ac:dyDescent="0.25">
      <c r="C205" s="28"/>
      <c r="D205" s="28"/>
      <c r="E205" s="28"/>
      <c r="G205" s="29" t="str">
        <f t="shared" ca="1" si="17"/>
        <v/>
      </c>
      <c r="H205" s="29" t="str">
        <f t="shared" ca="1" si="18"/>
        <v/>
      </c>
      <c r="I205" s="29" t="str">
        <f t="shared" si="19"/>
        <v/>
      </c>
      <c r="J205" s="29" t="str">
        <f t="shared" si="20"/>
        <v/>
      </c>
    </row>
    <row r="206" spans="3:10" x14ac:dyDescent="0.25">
      <c r="C206" s="28"/>
      <c r="D206" s="28"/>
      <c r="E206" s="28"/>
      <c r="G206" s="29" t="str">
        <f t="shared" ca="1" si="17"/>
        <v/>
      </c>
      <c r="H206" s="29" t="str">
        <f t="shared" ca="1" si="18"/>
        <v/>
      </c>
      <c r="I206" s="29" t="str">
        <f t="shared" si="19"/>
        <v/>
      </c>
      <c r="J206" s="29" t="str">
        <f t="shared" si="20"/>
        <v/>
      </c>
    </row>
    <row r="207" spans="3:10" x14ac:dyDescent="0.25">
      <c r="C207" s="28"/>
      <c r="D207" s="28"/>
      <c r="E207" s="28"/>
      <c r="G207" s="29" t="str">
        <f t="shared" ca="1" si="17"/>
        <v/>
      </c>
      <c r="H207" s="29" t="str">
        <f t="shared" ca="1" si="18"/>
        <v/>
      </c>
      <c r="I207" s="29" t="str">
        <f t="shared" si="19"/>
        <v/>
      </c>
      <c r="J207" s="29" t="str">
        <f t="shared" si="20"/>
        <v/>
      </c>
    </row>
    <row r="208" spans="3:10" x14ac:dyDescent="0.25">
      <c r="C208" s="28"/>
      <c r="D208" s="28"/>
      <c r="E208" s="28"/>
      <c r="G208" s="29" t="str">
        <f t="shared" ca="1" si="17"/>
        <v/>
      </c>
      <c r="H208" s="29" t="str">
        <f t="shared" ca="1" si="18"/>
        <v/>
      </c>
      <c r="I208" s="29" t="str">
        <f t="shared" si="19"/>
        <v/>
      </c>
      <c r="J208" s="29" t="str">
        <f t="shared" si="20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3" workbookViewId="0">
      <selection activeCell="Q20" sqref="N15:Q20"/>
    </sheetView>
  </sheetViews>
  <sheetFormatPr defaultRowHeight="15" x14ac:dyDescent="0.25"/>
  <cols>
    <col min="1" max="1" width="12" style="12" bestFit="1" customWidth="1"/>
    <col min="2" max="2" width="17.42578125" style="12" customWidth="1"/>
    <col min="3" max="3" width="39.7109375" style="30" customWidth="1"/>
    <col min="4" max="4" width="13.7109375" style="12" bestFit="1" customWidth="1"/>
    <col min="5" max="5" width="12.140625" style="12" bestFit="1" customWidth="1"/>
    <col min="6" max="6" width="19.7109375" style="30" bestFit="1" customWidth="1"/>
    <col min="7" max="16384" width="9.140625" style="12"/>
  </cols>
  <sheetData>
    <row r="1" spans="1:6" ht="30" x14ac:dyDescent="0.25">
      <c r="A1" s="12" t="s">
        <v>15</v>
      </c>
      <c r="B1" s="30" t="s">
        <v>47</v>
      </c>
      <c r="C1" s="30" t="s">
        <v>55</v>
      </c>
      <c r="D1" s="12" t="s">
        <v>56</v>
      </c>
      <c r="E1" s="12" t="s">
        <v>92</v>
      </c>
      <c r="F1" s="30" t="s">
        <v>57</v>
      </c>
    </row>
    <row r="2" spans="1:6" x14ac:dyDescent="0.25">
      <c r="A2" s="12" t="s">
        <v>41</v>
      </c>
      <c r="B2" s="12" t="s">
        <v>48</v>
      </c>
      <c r="C2" s="30" t="s">
        <v>58</v>
      </c>
      <c r="D2" s="12" t="s">
        <v>59</v>
      </c>
      <c r="E2" s="12">
        <v>1</v>
      </c>
      <c r="F2" s="30" t="s">
        <v>60</v>
      </c>
    </row>
    <row r="3" spans="1:6" x14ac:dyDescent="0.25">
      <c r="A3" s="12" t="s">
        <v>41</v>
      </c>
      <c r="B3" s="12" t="s">
        <v>48</v>
      </c>
      <c r="C3" s="30" t="s">
        <v>58</v>
      </c>
      <c r="D3" s="12" t="s">
        <v>61</v>
      </c>
      <c r="E3" s="12">
        <v>1</v>
      </c>
      <c r="F3" s="30" t="s">
        <v>60</v>
      </c>
    </row>
    <row r="4" spans="1:6" x14ac:dyDescent="0.25">
      <c r="A4" s="12" t="s">
        <v>41</v>
      </c>
      <c r="B4" s="12" t="s">
        <v>48</v>
      </c>
      <c r="C4" s="30" t="s">
        <v>58</v>
      </c>
      <c r="D4" s="12" t="s">
        <v>61</v>
      </c>
      <c r="E4" s="12">
        <v>1</v>
      </c>
      <c r="F4" s="30" t="s">
        <v>60</v>
      </c>
    </row>
    <row r="5" spans="1:6" x14ac:dyDescent="0.25">
      <c r="A5" s="12" t="s">
        <v>41</v>
      </c>
      <c r="B5" s="12" t="s">
        <v>48</v>
      </c>
      <c r="C5" s="30" t="s">
        <v>58</v>
      </c>
      <c r="D5" s="12" t="s">
        <v>61</v>
      </c>
      <c r="E5" s="12">
        <v>1</v>
      </c>
      <c r="F5" s="30" t="s">
        <v>60</v>
      </c>
    </row>
    <row r="6" spans="1:6" x14ac:dyDescent="0.25">
      <c r="A6" s="12" t="s">
        <v>41</v>
      </c>
      <c r="B6" s="12" t="s">
        <v>48</v>
      </c>
      <c r="C6" s="30" t="s">
        <v>58</v>
      </c>
      <c r="D6" s="12" t="s">
        <v>62</v>
      </c>
      <c r="E6" s="12">
        <v>1</v>
      </c>
      <c r="F6" s="30" t="s">
        <v>60</v>
      </c>
    </row>
    <row r="7" spans="1:6" x14ac:dyDescent="0.25">
      <c r="A7" s="12" t="s">
        <v>42</v>
      </c>
      <c r="B7" s="12" t="s">
        <v>49</v>
      </c>
      <c r="C7" s="30" t="s">
        <v>58</v>
      </c>
      <c r="D7" s="12" t="s">
        <v>62</v>
      </c>
      <c r="E7" s="12">
        <v>1</v>
      </c>
      <c r="F7" s="30" t="s">
        <v>60</v>
      </c>
    </row>
    <row r="8" spans="1:6" x14ac:dyDescent="0.25">
      <c r="A8" s="12" t="s">
        <v>42</v>
      </c>
      <c r="B8" s="12" t="s">
        <v>49</v>
      </c>
      <c r="C8" s="30" t="s">
        <v>58</v>
      </c>
      <c r="D8" s="12" t="s">
        <v>62</v>
      </c>
      <c r="E8" s="12">
        <v>1</v>
      </c>
      <c r="F8" s="30" t="s">
        <v>60</v>
      </c>
    </row>
    <row r="9" spans="1:6" x14ac:dyDescent="0.25">
      <c r="A9" s="12" t="s">
        <v>42</v>
      </c>
      <c r="B9" s="12" t="s">
        <v>49</v>
      </c>
      <c r="C9" s="30" t="s">
        <v>58</v>
      </c>
      <c r="D9" s="12" t="s">
        <v>62</v>
      </c>
      <c r="E9" s="12">
        <v>1</v>
      </c>
      <c r="F9" s="30" t="s">
        <v>60</v>
      </c>
    </row>
    <row r="10" spans="1:6" x14ac:dyDescent="0.25">
      <c r="A10" s="12" t="s">
        <v>42</v>
      </c>
      <c r="B10" s="12" t="s">
        <v>49</v>
      </c>
      <c r="C10" s="30" t="s">
        <v>58</v>
      </c>
      <c r="D10" s="12" t="s">
        <v>63</v>
      </c>
      <c r="E10" s="12">
        <v>1</v>
      </c>
      <c r="F10" s="30" t="s">
        <v>60</v>
      </c>
    </row>
    <row r="11" spans="1:6" x14ac:dyDescent="0.25">
      <c r="A11" s="12" t="s">
        <v>42</v>
      </c>
      <c r="B11" s="12" t="s">
        <v>49</v>
      </c>
      <c r="C11" s="30" t="s">
        <v>58</v>
      </c>
      <c r="D11" s="12" t="s">
        <v>63</v>
      </c>
      <c r="E11" s="12">
        <v>1</v>
      </c>
      <c r="F11" s="30" t="s">
        <v>60</v>
      </c>
    </row>
    <row r="12" spans="1:6" ht="30" x14ac:dyDescent="0.25">
      <c r="A12" s="12" t="s">
        <v>43</v>
      </c>
      <c r="B12" s="12" t="s">
        <v>50</v>
      </c>
      <c r="C12" s="30" t="s">
        <v>64</v>
      </c>
      <c r="D12" s="12" t="s">
        <v>72</v>
      </c>
      <c r="E12" s="12">
        <v>1</v>
      </c>
      <c r="F12" s="30" t="s">
        <v>74</v>
      </c>
    </row>
    <row r="13" spans="1:6" ht="30" x14ac:dyDescent="0.25">
      <c r="A13" s="12" t="s">
        <v>43</v>
      </c>
      <c r="B13" s="12" t="s">
        <v>50</v>
      </c>
      <c r="C13" s="30" t="s">
        <v>65</v>
      </c>
      <c r="D13" s="12" t="s">
        <v>62</v>
      </c>
      <c r="E13" s="12">
        <v>1</v>
      </c>
      <c r="F13" s="30" t="s">
        <v>75</v>
      </c>
    </row>
    <row r="14" spans="1:6" x14ac:dyDescent="0.25">
      <c r="A14" s="12" t="s">
        <v>43</v>
      </c>
      <c r="B14" s="12" t="s">
        <v>50</v>
      </c>
      <c r="C14" s="30" t="s">
        <v>58</v>
      </c>
      <c r="D14" s="12" t="s">
        <v>59</v>
      </c>
      <c r="E14" s="12">
        <v>1</v>
      </c>
      <c r="F14" s="30" t="s">
        <v>76</v>
      </c>
    </row>
    <row r="15" spans="1:6" ht="45" x14ac:dyDescent="0.25">
      <c r="A15" s="12" t="s">
        <v>43</v>
      </c>
      <c r="B15" s="12" t="s">
        <v>50</v>
      </c>
      <c r="C15" s="30" t="s">
        <v>66</v>
      </c>
      <c r="D15" s="12" t="s">
        <v>72</v>
      </c>
      <c r="E15" s="12">
        <v>1</v>
      </c>
      <c r="F15" s="30" t="s">
        <v>77</v>
      </c>
    </row>
    <row r="16" spans="1:6" ht="30" x14ac:dyDescent="0.25">
      <c r="A16" s="12" t="s">
        <v>43</v>
      </c>
      <c r="B16" s="12" t="s">
        <v>50</v>
      </c>
      <c r="C16" s="30" t="s">
        <v>67</v>
      </c>
      <c r="D16" s="12" t="s">
        <v>72</v>
      </c>
      <c r="E16" s="12">
        <v>1</v>
      </c>
      <c r="F16" s="30" t="s">
        <v>77</v>
      </c>
    </row>
    <row r="17" spans="1:6" x14ac:dyDescent="0.25">
      <c r="A17" s="12" t="s">
        <v>44</v>
      </c>
      <c r="B17" s="12" t="s">
        <v>51</v>
      </c>
      <c r="C17" s="30" t="s">
        <v>58</v>
      </c>
      <c r="D17" s="12" t="s">
        <v>62</v>
      </c>
      <c r="E17" s="12">
        <v>1</v>
      </c>
      <c r="F17" s="30" t="s">
        <v>78</v>
      </c>
    </row>
    <row r="18" spans="1:6" ht="30" x14ac:dyDescent="0.25">
      <c r="A18" s="12" t="s">
        <v>44</v>
      </c>
      <c r="B18" s="12" t="s">
        <v>51</v>
      </c>
      <c r="C18" s="30" t="s">
        <v>68</v>
      </c>
      <c r="D18" s="12" t="s">
        <v>62</v>
      </c>
      <c r="E18" s="12">
        <v>1</v>
      </c>
      <c r="F18" s="30" t="s">
        <v>79</v>
      </c>
    </row>
    <row r="19" spans="1:6" ht="30" x14ac:dyDescent="0.25">
      <c r="A19" s="12" t="s">
        <v>44</v>
      </c>
      <c r="B19" s="12" t="s">
        <v>51</v>
      </c>
      <c r="C19" s="30" t="s">
        <v>69</v>
      </c>
      <c r="D19" s="12" t="s">
        <v>62</v>
      </c>
      <c r="E19" s="12">
        <v>1</v>
      </c>
      <c r="F19" s="30" t="s">
        <v>80</v>
      </c>
    </row>
    <row r="20" spans="1:6" ht="30" x14ac:dyDescent="0.25">
      <c r="A20" s="12" t="s">
        <v>44</v>
      </c>
      <c r="B20" s="12" t="s">
        <v>51</v>
      </c>
      <c r="C20" s="30" t="s">
        <v>70</v>
      </c>
      <c r="D20" s="12" t="s">
        <v>73</v>
      </c>
      <c r="E20" s="12">
        <v>1</v>
      </c>
      <c r="F20" s="30" t="s">
        <v>81</v>
      </c>
    </row>
    <row r="21" spans="1:6" x14ac:dyDescent="0.25">
      <c r="A21" s="12" t="s">
        <v>44</v>
      </c>
      <c r="B21" s="12" t="s">
        <v>51</v>
      </c>
      <c r="C21" s="30" t="s">
        <v>71</v>
      </c>
      <c r="D21" s="12">
        <v>24</v>
      </c>
      <c r="E21" s="12">
        <v>1</v>
      </c>
      <c r="F21" s="30" t="s">
        <v>82</v>
      </c>
    </row>
    <row r="22" spans="1:6" ht="45" x14ac:dyDescent="0.25">
      <c r="A22" s="12">
        <v>37</v>
      </c>
      <c r="B22" s="12" t="s">
        <v>52</v>
      </c>
      <c r="C22" s="30" t="s">
        <v>83</v>
      </c>
      <c r="D22" s="12" t="s">
        <v>63</v>
      </c>
      <c r="E22" s="12">
        <v>1</v>
      </c>
      <c r="F22" s="30" t="s">
        <v>88</v>
      </c>
    </row>
    <row r="23" spans="1:6" ht="45" x14ac:dyDescent="0.25">
      <c r="A23" s="12">
        <v>37</v>
      </c>
      <c r="B23" s="12" t="s">
        <v>52</v>
      </c>
      <c r="C23" s="30" t="s">
        <v>84</v>
      </c>
      <c r="D23" s="12" t="s">
        <v>61</v>
      </c>
      <c r="E23" s="12">
        <v>1</v>
      </c>
      <c r="F23" s="30" t="s">
        <v>88</v>
      </c>
    </row>
    <row r="24" spans="1:6" ht="45" x14ac:dyDescent="0.25">
      <c r="A24" s="12">
        <v>37</v>
      </c>
      <c r="B24" s="12" t="s">
        <v>52</v>
      </c>
      <c r="C24" s="30" t="s">
        <v>85</v>
      </c>
      <c r="D24" s="12" t="s">
        <v>63</v>
      </c>
      <c r="E24" s="12">
        <v>1</v>
      </c>
      <c r="F24" s="30" t="s">
        <v>88</v>
      </c>
    </row>
    <row r="25" spans="1:6" ht="45" x14ac:dyDescent="0.25">
      <c r="A25" s="12">
        <v>37</v>
      </c>
      <c r="B25" s="12" t="s">
        <v>52</v>
      </c>
      <c r="C25" s="30" t="s">
        <v>86</v>
      </c>
      <c r="D25" s="12" t="s">
        <v>61</v>
      </c>
      <c r="E25" s="12">
        <v>1</v>
      </c>
      <c r="F25" s="30" t="s">
        <v>88</v>
      </c>
    </row>
    <row r="26" spans="1:6" ht="45" x14ac:dyDescent="0.25">
      <c r="A26" s="12">
        <v>37</v>
      </c>
      <c r="B26" s="12" t="s">
        <v>52</v>
      </c>
      <c r="C26" s="30" t="s">
        <v>87</v>
      </c>
      <c r="D26" s="12" t="s">
        <v>61</v>
      </c>
      <c r="E26" s="12">
        <v>1</v>
      </c>
      <c r="F26" s="30" t="s">
        <v>88</v>
      </c>
    </row>
    <row r="27" spans="1:6" x14ac:dyDescent="0.25">
      <c r="A27" s="12" t="s">
        <v>45</v>
      </c>
      <c r="B27" s="12" t="s">
        <v>53</v>
      </c>
      <c r="C27" s="30" t="s">
        <v>89</v>
      </c>
      <c r="D27" s="12" t="s">
        <v>59</v>
      </c>
      <c r="E27" s="12">
        <v>1</v>
      </c>
      <c r="F27" s="30" t="s">
        <v>60</v>
      </c>
    </row>
    <row r="28" spans="1:6" x14ac:dyDescent="0.25">
      <c r="A28" s="12" t="s">
        <v>45</v>
      </c>
      <c r="B28" s="12" t="s">
        <v>53</v>
      </c>
      <c r="C28" s="30" t="s">
        <v>89</v>
      </c>
      <c r="D28" s="12" t="s">
        <v>61</v>
      </c>
      <c r="E28" s="12">
        <v>1</v>
      </c>
      <c r="F28" s="30" t="s">
        <v>60</v>
      </c>
    </row>
    <row r="29" spans="1:6" x14ac:dyDescent="0.25">
      <c r="A29" s="12" t="s">
        <v>45</v>
      </c>
      <c r="B29" s="12" t="s">
        <v>53</v>
      </c>
      <c r="C29" s="30" t="s">
        <v>89</v>
      </c>
      <c r="D29" s="12" t="s">
        <v>61</v>
      </c>
      <c r="E29" s="12">
        <v>1</v>
      </c>
      <c r="F29" s="30" t="s">
        <v>60</v>
      </c>
    </row>
    <row r="30" spans="1:6" x14ac:dyDescent="0.25">
      <c r="A30" s="12" t="s">
        <v>45</v>
      </c>
      <c r="B30" s="12" t="s">
        <v>53</v>
      </c>
      <c r="C30" s="30" t="s">
        <v>89</v>
      </c>
      <c r="D30" s="12" t="s">
        <v>62</v>
      </c>
      <c r="E30" s="12">
        <v>1</v>
      </c>
      <c r="F30" s="30" t="s">
        <v>60</v>
      </c>
    </row>
    <row r="31" spans="1:6" x14ac:dyDescent="0.25">
      <c r="A31" s="12" t="s">
        <v>45</v>
      </c>
      <c r="B31" s="12" t="s">
        <v>53</v>
      </c>
      <c r="C31" s="30" t="s">
        <v>89</v>
      </c>
      <c r="D31" s="12" t="s">
        <v>62</v>
      </c>
      <c r="E31" s="12">
        <v>1</v>
      </c>
      <c r="F31" s="30" t="s">
        <v>60</v>
      </c>
    </row>
    <row r="32" spans="1:6" x14ac:dyDescent="0.25">
      <c r="A32" s="12" t="s">
        <v>46</v>
      </c>
      <c r="B32" s="12" t="s">
        <v>54</v>
      </c>
      <c r="C32" s="30" t="s">
        <v>90</v>
      </c>
      <c r="D32" s="12" t="s">
        <v>61</v>
      </c>
      <c r="E32" s="12">
        <v>1</v>
      </c>
      <c r="F32" s="30" t="s">
        <v>60</v>
      </c>
    </row>
    <row r="33" spans="1:6" x14ac:dyDescent="0.25">
      <c r="A33" s="12" t="s">
        <v>46</v>
      </c>
      <c r="B33" s="12" t="s">
        <v>54</v>
      </c>
      <c r="C33" s="30" t="s">
        <v>91</v>
      </c>
      <c r="D33" s="12" t="s">
        <v>61</v>
      </c>
      <c r="E33" s="12">
        <v>1</v>
      </c>
      <c r="F33" s="30" t="s">
        <v>60</v>
      </c>
    </row>
    <row r="34" spans="1:6" x14ac:dyDescent="0.25">
      <c r="A34" s="12" t="s">
        <v>46</v>
      </c>
      <c r="B34" s="12" t="s">
        <v>54</v>
      </c>
      <c r="C34" s="30" t="s">
        <v>90</v>
      </c>
      <c r="D34" s="12" t="s">
        <v>62</v>
      </c>
      <c r="E34" s="12">
        <v>1</v>
      </c>
      <c r="F34" s="30" t="s">
        <v>60</v>
      </c>
    </row>
    <row r="35" spans="1:6" x14ac:dyDescent="0.25">
      <c r="A35" s="12" t="s">
        <v>46</v>
      </c>
      <c r="B35" s="12" t="s">
        <v>54</v>
      </c>
      <c r="C35" s="30" t="s">
        <v>91</v>
      </c>
      <c r="D35" s="12" t="s">
        <v>62</v>
      </c>
      <c r="E35" s="12">
        <v>1</v>
      </c>
      <c r="F35" s="30" t="s">
        <v>60</v>
      </c>
    </row>
    <row r="36" spans="1:6" x14ac:dyDescent="0.25">
      <c r="A36" s="12" t="s">
        <v>46</v>
      </c>
      <c r="B36" s="12" t="s">
        <v>54</v>
      </c>
      <c r="C36" s="30" t="s">
        <v>90</v>
      </c>
      <c r="D36" s="12" t="s">
        <v>63</v>
      </c>
      <c r="E36" s="12">
        <v>1</v>
      </c>
      <c r="F36" s="30" t="s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cols>
    <col min="1" max="1" width="32" customWidth="1"/>
    <col min="2" max="2" width="55" customWidth="1"/>
    <col min="3" max="3" width="40" customWidth="1"/>
  </cols>
  <sheetData>
    <row r="1" spans="1:3" x14ac:dyDescent="0.25">
      <c r="A1" s="23" t="s">
        <v>24</v>
      </c>
      <c r="B1" s="23" t="s">
        <v>25</v>
      </c>
      <c r="C1" s="23" t="s">
        <v>26</v>
      </c>
    </row>
    <row r="2" spans="1:3" x14ac:dyDescent="0.25">
      <c r="A2" s="24" t="s">
        <v>15</v>
      </c>
      <c r="B2" s="24" t="s">
        <v>27</v>
      </c>
      <c r="C2" s="24" t="s">
        <v>28</v>
      </c>
    </row>
    <row r="3" spans="1:3" x14ac:dyDescent="0.25">
      <c r="A3" s="24" t="s">
        <v>16</v>
      </c>
      <c r="B3" s="24" t="s">
        <v>29</v>
      </c>
      <c r="C3" s="24" t="s">
        <v>30</v>
      </c>
    </row>
    <row r="4" spans="1:3" x14ac:dyDescent="0.25">
      <c r="A4" s="24" t="s">
        <v>17</v>
      </c>
      <c r="B4" s="24" t="s">
        <v>31</v>
      </c>
      <c r="C4" s="24" t="s">
        <v>30</v>
      </c>
    </row>
    <row r="5" spans="1:3" x14ac:dyDescent="0.25">
      <c r="A5" s="24" t="s">
        <v>18</v>
      </c>
      <c r="B5" s="24" t="s">
        <v>32</v>
      </c>
      <c r="C5" s="24" t="s">
        <v>33</v>
      </c>
    </row>
    <row r="6" spans="1:3" ht="30" x14ac:dyDescent="0.25">
      <c r="A6" s="24" t="s">
        <v>19</v>
      </c>
      <c r="B6" s="24" t="s">
        <v>34</v>
      </c>
      <c r="C6" s="24" t="s">
        <v>35</v>
      </c>
    </row>
    <row r="7" spans="1:3" x14ac:dyDescent="0.25">
      <c r="A7" s="24" t="s">
        <v>20</v>
      </c>
      <c r="B7" s="24" t="s">
        <v>36</v>
      </c>
      <c r="C7" s="24" t="s">
        <v>37</v>
      </c>
    </row>
    <row r="8" spans="1:3" x14ac:dyDescent="0.25">
      <c r="A8" s="24" t="s">
        <v>21</v>
      </c>
      <c r="B8" s="24" t="s">
        <v>38</v>
      </c>
      <c r="C8" s="24" t="s">
        <v>37</v>
      </c>
    </row>
    <row r="9" spans="1:3" x14ac:dyDescent="0.25">
      <c r="A9" s="24" t="s">
        <v>22</v>
      </c>
      <c r="B9" s="24" t="s">
        <v>39</v>
      </c>
      <c r="C9" s="24" t="s">
        <v>37</v>
      </c>
    </row>
    <row r="10" spans="1:3" ht="30" x14ac:dyDescent="0.25">
      <c r="A10" s="24" t="s">
        <v>23</v>
      </c>
      <c r="B10" s="24" t="s">
        <v>40</v>
      </c>
      <c r="C10" s="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PACOTES</vt:lpstr>
      <vt:lpstr>ITENS</vt:lpstr>
      <vt:lpstr>DICIONARIO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2026-02-24T13:53:18Z</dcterms:created>
  <dcterms:modified xsi:type="dcterms:W3CDTF">2026-02-25T01:42:24Z</dcterms:modified>
</cp:coreProperties>
</file>